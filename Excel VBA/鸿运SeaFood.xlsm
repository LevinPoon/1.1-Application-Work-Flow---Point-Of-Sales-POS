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20490" windowHeight="7185" activeTab="4"/>
  </bookViews>
  <sheets>
    <sheet name="Main" sheetId="1" r:id="rId1"/>
    <sheet name="Data" sheetId="2" state="hidden" r:id="rId2"/>
    <sheet name="MENU" sheetId="3" r:id="rId3"/>
    <sheet name="Recipt" sheetId="4" state="hidden" r:id="rId4"/>
    <sheet name="Directory" sheetId="6" r:id="rId5"/>
    <sheet name="MappingTable" sheetId="7" state="hidden" r:id="rId6"/>
  </sheets>
  <definedNames>
    <definedName name="_xlnm.Print_Area" localSheetId="3">Recipt!$M$1:$Q$9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4" l="1"/>
  <c r="B8" i="4" l="1"/>
  <c r="B9" i="4" l="1"/>
  <c r="B11" i="4" s="1"/>
</calcChain>
</file>

<file path=xl/comments1.xml><?xml version="1.0" encoding="utf-8"?>
<comments xmlns="http://schemas.openxmlformats.org/spreadsheetml/2006/main">
  <authors>
    <author>Hp</author>
  </authors>
  <commentList>
    <comment ref="A2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Pending DISH ID</t>
        </r>
      </text>
    </comment>
    <comment ref="B2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No of Pending DISH ID</t>
        </r>
      </text>
    </comment>
    <comment ref="C2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Last Invoice no as date and time format</t>
        </r>
      </text>
    </comment>
    <comment ref="D2" authorId="0" shape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Find out discount base on last invoice no with handphone no</t>
        </r>
      </text>
    </comment>
  </commentList>
</comments>
</file>

<file path=xl/sharedStrings.xml><?xml version="1.0" encoding="utf-8"?>
<sst xmlns="http://schemas.openxmlformats.org/spreadsheetml/2006/main" count="799" uniqueCount="242">
  <si>
    <t>Price</t>
  </si>
  <si>
    <t>Quantity</t>
  </si>
  <si>
    <t>Shop ID</t>
  </si>
  <si>
    <t>Date and Time</t>
  </si>
  <si>
    <t>Type</t>
  </si>
  <si>
    <t>Soup 汤</t>
  </si>
  <si>
    <t>Fish Maw Soup 鱼漂汤</t>
  </si>
  <si>
    <t>Seafood Soup 海鲜汤</t>
  </si>
  <si>
    <t>鸿运海鲜</t>
  </si>
  <si>
    <t>Blk 233 Toa Payoh Lorong 8 #01-268</t>
  </si>
  <si>
    <t>Singapore 310233</t>
  </si>
  <si>
    <t>Bitter Gourd Soup 苦瓜汤</t>
  </si>
  <si>
    <t>Fish Head Soup 鱼头汤</t>
  </si>
  <si>
    <t>Sliced Fish Soup 生鱼片汤</t>
  </si>
  <si>
    <t>Tomato with Egg Soup 番茄蛋花汤</t>
  </si>
  <si>
    <t>Salted Vegetables with Beancurd Soup 咸菜豆腐汤</t>
  </si>
  <si>
    <t>Bitter Gourd with Egg Soup 苦瓜蛋花汤</t>
  </si>
  <si>
    <t xml:space="preserve">
Salted Veg with Beancurd Soup</t>
  </si>
  <si>
    <t>Seaweed with Egg Soup 紫菜蛋花汤</t>
  </si>
  <si>
    <t>Tom Yam Seafood Soup 冬炎海鲜汤</t>
  </si>
  <si>
    <t>Cabbage Fish Head Soup 白菜鱼头汤</t>
  </si>
  <si>
    <t>Egg with Hua Tiao Wine Soup 花雕蛋花汤</t>
  </si>
  <si>
    <t>Other (Homemade)</t>
  </si>
  <si>
    <t>Fried Fish Skin 炸 鱼 皮</t>
  </si>
  <si>
    <t>Homemade Prawns Rolls 制作虾枣</t>
  </si>
  <si>
    <t>Yam Ring with Prawns and Cashew Nuts 佛体 飘 香</t>
  </si>
  <si>
    <t>Fried Squid Noodle 速冻面</t>
  </si>
  <si>
    <t>Fried Fish Vermicelli Soup 炸鱼片米粉汤</t>
  </si>
  <si>
    <t>Fish Head Vermicelli Soup 鱼头米粉汤 （细/粗）</t>
  </si>
  <si>
    <t>Sliced Fish Bee Hoon Soup 鱼片米粉汤 （细/粗）</t>
  </si>
  <si>
    <t>Bee Hoon Soup 米粉/河粉/面 （汤）</t>
  </si>
  <si>
    <t>Hor Fun Soup 米粉/河粉/面 （汤）</t>
  </si>
  <si>
    <t>Noodles Soup 米粉/河粉/面 （汤）</t>
  </si>
  <si>
    <t>Fried Dry Bee Hoon 干炒米粉/河粉/面</t>
  </si>
  <si>
    <t>Fried Dry Hor Fun 干炒米粉/河粉/面</t>
  </si>
  <si>
    <t>Fried Dry Noodles 干炒米粉/河粉/面</t>
  </si>
  <si>
    <t>Mixed Meat Bee Hoon 什锦米粉/河粉</t>
  </si>
  <si>
    <t>Mixed Meat Hor Fun 什锦米粉/河粉</t>
  </si>
  <si>
    <t>Kampong Mee 家乡面</t>
  </si>
  <si>
    <t>Hokkien Mee 福建面</t>
  </si>
  <si>
    <t>Hong Kong Mee 香港面</t>
  </si>
  <si>
    <t>Seafood Ee Fu Noodle 伊面/海鲜伊面</t>
  </si>
  <si>
    <t>Crispy Noodle 生面</t>
  </si>
  <si>
    <t>Claypot Noodle 砂锅面</t>
  </si>
  <si>
    <t>Moonlight Hor Fun 月光河</t>
  </si>
  <si>
    <t>Hor Fun with Egg 滑蛋河粉</t>
  </si>
  <si>
    <t>Traditional Bee Hoon 香低米粉/河粉</t>
  </si>
  <si>
    <t>Traditional Hor Fun 香低米粉/河粉</t>
  </si>
  <si>
    <t>Fried Tang Hoon 干炒冬粉</t>
  </si>
  <si>
    <t>Fried Dry Mee Suan 干炒面线</t>
  </si>
  <si>
    <t>Xing Zhou Fried Dry Bee Hoon 星洲米粉</t>
  </si>
  <si>
    <t>Hor Fun with Beef 滑蛋牛粉</t>
  </si>
  <si>
    <t>Dry Hor Fun with Beef 干炒牛肉河粉</t>
  </si>
  <si>
    <t>Hor Fun with Sliced Fish 鱼片滑蛋河粉</t>
  </si>
  <si>
    <t>Hor Fun with Sliced Fish (Dry）三捞河粉</t>
  </si>
  <si>
    <t>Hor Fun with Black Bean Sauce 豉汁滑蛋河粉</t>
  </si>
  <si>
    <t>Spring Onion Sliced Fish Rice 姜葱鱼片饭+蛋</t>
  </si>
  <si>
    <t>Fish Head Black Sauce Rice 鼓汁鱼头饭+蛋</t>
  </si>
  <si>
    <t>Sweet and Sour Sliced Fish Rice 酸甜鱼片饭+蛋</t>
  </si>
  <si>
    <t>Fish Head Bitter Gourd Rice 鱼头苦瓜饭+蛋</t>
  </si>
  <si>
    <t>Salted Egg Chicken Rice 咸香鸡饭+蛋</t>
  </si>
  <si>
    <t>Fried Rice with Chicken and Salted Fish 咸鱼鸡丁炒饭</t>
  </si>
  <si>
    <t>Curry Chicken Rice with Egg 咖喱鸡丁饭+蛋</t>
  </si>
  <si>
    <t>Dried Chilli Chicken Rice with Egg 宫保鸡丁饭+蛋</t>
  </si>
  <si>
    <t>XO Special Fried Rice XO招牌炒饭</t>
  </si>
  <si>
    <t>Black Pepper Beef with Rice 黑胡椒牛肉饭</t>
  </si>
  <si>
    <t>Mixed Vegetable Rice 什菜什锦饭+蛋</t>
  </si>
  <si>
    <t>Sambal Fried Rice 叁芭炒饭</t>
  </si>
  <si>
    <t>Stewed Mixed Vegetable Rice 罗汉斋饭+蛋</t>
  </si>
  <si>
    <t>Spring Chicken Rice 甘香鸡</t>
  </si>
  <si>
    <t>Pork Ribs Rice with Egg (Boneless) 排骨王饭+蛋</t>
  </si>
  <si>
    <t>Pork Ribs Bitter Gourd Rice 苦瓜排骨饭+蛋</t>
  </si>
  <si>
    <t>Pork Leg Vermicelli 猪脚米粉</t>
  </si>
  <si>
    <t>Curry Pork Rice with Egg 咖喱猪肉贩+蛋</t>
  </si>
  <si>
    <t>Sweet and Sour Pork Rice with Egg 咕噜肉饭+蛋</t>
  </si>
  <si>
    <t>Spring Onion Beef Rice with Egg 姜葱牛肉饭+蛋</t>
  </si>
  <si>
    <t>Dried Chilli Beef Rice with Egg 宫保牛肉饭+蛋</t>
  </si>
  <si>
    <t>Beef Fried Rice 牛肉炒饭</t>
  </si>
  <si>
    <t>Crab Meat Fried Rice 蟹肉炒饭</t>
  </si>
  <si>
    <t>Prawn Fried Rice 虾肉炒饭</t>
  </si>
  <si>
    <t>Sambal Petai Rice with Egg 叁芭臭豆饭+蛋</t>
  </si>
  <si>
    <t>Sambal Petai Prawns Rice with Egg 臭豆虾饭+蛋</t>
  </si>
  <si>
    <t>Sambal Petal Minced Pork Rice With Egg 臭豆肉碎饭+蛋</t>
  </si>
  <si>
    <t>Yang Chow Fried Rice 扬州炒饭</t>
  </si>
  <si>
    <t>Spicy Sauce Cripsy Pork Rice With Egg 香辣烧肉饭+蛋</t>
  </si>
  <si>
    <t>Beancurd w/ Minced Meat Rice With Egg 翡翠豆腐饭+蛋</t>
  </si>
  <si>
    <t>Mushroom Chicken Rice With Egg 冬菇鸡肉饭+蛋</t>
  </si>
  <si>
    <t>Thai Style Chicken Rice With Egg 泰式鸡肉饭+蛋</t>
  </si>
  <si>
    <t>Mongolia Pork Ribs Rice With Egg 蒙古排骨饭+蛋</t>
  </si>
  <si>
    <t>White Rice 白米饭</t>
  </si>
  <si>
    <t>Marmite Chicken Rice 妈蜜鸡饭</t>
  </si>
  <si>
    <t>Marmite Pork Ribs Rice (Boneless) 妈蜜排骨饭</t>
  </si>
  <si>
    <t>Black Pepper Chicken Rice with Egg 胡椒鸡肉饭+蛋</t>
  </si>
  <si>
    <t>Soup of the day 今日厨房汤</t>
  </si>
  <si>
    <t>Sotong 苏东</t>
  </si>
  <si>
    <t>Sambal Sotong 叁芭苏东</t>
  </si>
  <si>
    <t>Cereal Sotong 麦片苏东</t>
  </si>
  <si>
    <t>Salted Egg Sotong 咸蛋苏东</t>
  </si>
  <si>
    <t>Deep Fried Sotong 苏东仔</t>
  </si>
  <si>
    <t>Seashell 贝类</t>
  </si>
  <si>
    <t>Clams 啦啦 （炒叁峇)</t>
  </si>
  <si>
    <t>Crabs 螃蟹</t>
  </si>
  <si>
    <t>Chili Crab 辣椒螃蟹</t>
  </si>
  <si>
    <t>Salted Egg Crab 咸蛋螃蟹</t>
  </si>
  <si>
    <t>Black Pepper Crab 黑椒螃蟹</t>
  </si>
  <si>
    <t>Braised Crab with Bee Hoon  螃蟹闷米粉</t>
  </si>
  <si>
    <t>Butter Crab 牛油螃蟹</t>
  </si>
  <si>
    <t>Mongolian Crab 蒙古螃蟹</t>
  </si>
  <si>
    <t>Claypot Crab with Vermicelli 砂 煲冬粉螃蟹</t>
  </si>
  <si>
    <t>Crab Vermicelli Soup 螃蟹粗米粉 汤</t>
  </si>
  <si>
    <t>Prawns 虾</t>
  </si>
  <si>
    <t>Golden Prawns 黄金虾球</t>
  </si>
  <si>
    <t>Cereal Prawns 麦片虾</t>
  </si>
  <si>
    <t>Sambal Prawns 叁芭虾</t>
  </si>
  <si>
    <t>Assam Prawns 亚叁虾</t>
  </si>
  <si>
    <t>Salted Egg Prawns 咸蛋虾</t>
  </si>
  <si>
    <t>Black Pepper Prawns 黑胡椒虾</t>
  </si>
  <si>
    <t>Spiced Salt Prawns 椒盐虾</t>
  </si>
  <si>
    <t>Butter Prawns 牛油虾</t>
  </si>
  <si>
    <t>Salad Prawns 沙律虾球</t>
  </si>
  <si>
    <t>Golden Salted Egg Yolk Prawns 金沙虾球</t>
  </si>
  <si>
    <t>Meat 肉</t>
  </si>
  <si>
    <t>Prawn Paste Chicken 虾酱鸡</t>
  </si>
  <si>
    <t>Lemon Chicken 柠檬鸡</t>
  </si>
  <si>
    <t>Thai Style Chicken 泰式鸡</t>
  </si>
  <si>
    <t>Baked Honey Chicken Wings 烤蜜汁鸡翅</t>
  </si>
  <si>
    <t>Mongolia Chicken 蒙古鸡</t>
  </si>
  <si>
    <t>Black Pepper Chicken 黑椒鸡</t>
  </si>
  <si>
    <t>Chicken with Dried Chili 宫保鸡</t>
  </si>
  <si>
    <t>Cereal Chicken Wings 麦片鸡</t>
  </si>
  <si>
    <t>Salted Egg Chicken 咸蛋鸡</t>
  </si>
  <si>
    <t>Salted Egg Pork Ribs 咸蛋排骨</t>
  </si>
  <si>
    <t>Fried Pork Belly 南乳炸花肉</t>
  </si>
  <si>
    <t>Sweet and Sour Pork 咕噜肉</t>
  </si>
  <si>
    <t>King Pork Ribs (Boneless) 排骨王</t>
  </si>
  <si>
    <t>Mongolia Pork Ribs 蒙古排骨</t>
  </si>
  <si>
    <t>Curry Pork (Dried) 咖哩猪肉</t>
  </si>
  <si>
    <t>Beef with Spring Onion 姜葱牛肉</t>
  </si>
  <si>
    <t>Pork Rib with Bitter Gourd Black Bean Paste 鼓汁苦瓜排骨</t>
  </si>
  <si>
    <t>Claypot Pork Belly with Salted Fish 咸鱼花腩煲</t>
  </si>
  <si>
    <t>Hongyun Special Pork Ribs 鸿运招牌软骨</t>
  </si>
  <si>
    <t>Beef with Spring Onion and Ginger 姜葱牛肉</t>
  </si>
  <si>
    <t>Deer with Spring Onion and Ginger 姜葱鹿肉</t>
  </si>
  <si>
    <t>Beef with Dried Chilli 宫保牛肉</t>
  </si>
  <si>
    <t>Deer with Dried Chilli 宫保鹿肉</t>
  </si>
  <si>
    <t>Hot Plate Beef 铁板牛肉</t>
  </si>
  <si>
    <t>Hot Plate Deer 铁板鹿肉</t>
  </si>
  <si>
    <t>Hot Plate Black Pepper Beef 铁板黑椒牛肉</t>
  </si>
  <si>
    <t>Hot Plate Black Pepper Deer 铁板黑椒鹿肉</t>
  </si>
  <si>
    <t>Marmite Chicken 妈蜜鸡</t>
  </si>
  <si>
    <t>Marmite Pork Ribs (Boneless) 妈蜜排骨</t>
  </si>
  <si>
    <t>Vegetable 蔬菜</t>
  </si>
  <si>
    <t>Salted Egg Bitter Gourd 咸蛋苦瓜</t>
  </si>
  <si>
    <t>Broccoli with Prawns 西兰花虾球</t>
  </si>
  <si>
    <t>Broccoli with Scallops 西兰花带子</t>
  </si>
  <si>
    <t>Kailan with Sliced Fish 鱼片芥兰</t>
  </si>
  <si>
    <t>Kailan with Mixed Seafood 什锦芥兰</t>
  </si>
  <si>
    <t>Spinach Xiao Bai Cai with Mushrooms 香菇菠菜</t>
  </si>
  <si>
    <t>Mixed Vegetables 什菜</t>
  </si>
  <si>
    <t>Baby Kailan with Mixed Seafood 什锦小芥兰</t>
  </si>
  <si>
    <t>Kailan with Salted Fish 咸鱼小芥兰</t>
  </si>
  <si>
    <t>Beansprouts with Salted Fish 咸鱼豆芽</t>
  </si>
  <si>
    <t>Stirred Fried Broccoli with Abalone Slices 鲍片炒西兰花</t>
  </si>
  <si>
    <t>Sauteed French Beans with Minced Pork 千扁四李豆</t>
  </si>
  <si>
    <t>Sambal Sweet Potato Leaves 叁芭番薯叶</t>
  </si>
  <si>
    <t>Sambal Kailan 叁芭芥兰</t>
  </si>
  <si>
    <t>Sambal Kang Kong 马来风光</t>
  </si>
  <si>
    <t>Stir Fry Chai Sim with Oyster Sauce 蚝油菜心</t>
  </si>
  <si>
    <t>Kailan with Oyster Sauce 蚝油芥兰</t>
  </si>
  <si>
    <t>Shrimp with Four Season Pea 虾米四李豆</t>
  </si>
  <si>
    <t>Braised Egg Plant 鱼香茄子</t>
  </si>
  <si>
    <t>Amaranth Soup 上汤苋菜</t>
  </si>
  <si>
    <t>Amaranth with Three Kind of Egg 三皇苋菜</t>
  </si>
  <si>
    <t>Four Kind of Vegetables 四大天王</t>
  </si>
  <si>
    <t>Egg with Tomato  番茄蛋</t>
  </si>
  <si>
    <t>Fried Egg with Onion 大葱煎蛋</t>
  </si>
  <si>
    <t>Fu Yong Egg 芙蓉煎蛋</t>
  </si>
  <si>
    <t>Fried Egg with Cai Pu 菜薄煎蛋</t>
  </si>
  <si>
    <t>Fried Egg with Bitter Gourd 苦瓜煎蛋</t>
  </si>
  <si>
    <t>Fried Egg with Prawns 虾仁煎蛋</t>
  </si>
  <si>
    <t>Fried Egg with Minced Meat 肉碎煎蛋</t>
  </si>
  <si>
    <t>Fried Egg with Oysters 生蚝煎蛋</t>
  </si>
  <si>
    <t>Ma Bo Tofu 麻婆豆腐</t>
  </si>
  <si>
    <t>Braised Tofu 红烧豆腐</t>
  </si>
  <si>
    <t>Hot Plate Tofu 铁板豆腐</t>
  </si>
  <si>
    <t>Claypot Tofu 砂 煲豆腐</t>
  </si>
  <si>
    <t>Egg 蛋</t>
  </si>
  <si>
    <t>Tofu 豆腐</t>
  </si>
  <si>
    <t>Crab Meat Tofu (Homemade) 蟹肉豆腐</t>
  </si>
  <si>
    <t>Tofu with Salted Fish and Chicken 咸鱼鸡粒豆腐</t>
  </si>
  <si>
    <t>Hot Plate Seafood Tofu 铁板海鲜豆腐</t>
  </si>
  <si>
    <t>Tofu with Cai Pu 菜蒲豆腐</t>
  </si>
  <si>
    <t>Mushroom Beancurd 玉菇豆腐</t>
  </si>
  <si>
    <t>Mee Goreng  马来炒面</t>
  </si>
  <si>
    <t>Pineapple Fried Rice  黄梨炒饭</t>
  </si>
  <si>
    <t>Noodle 面</t>
  </si>
  <si>
    <t>Rice Plate 饭</t>
  </si>
  <si>
    <t>Food Channel</t>
  </si>
  <si>
    <t>Payment Channel</t>
  </si>
  <si>
    <t>Food Channel:</t>
  </si>
  <si>
    <t>Payment Channel:</t>
  </si>
  <si>
    <t>Total Price</t>
  </si>
  <si>
    <t>Dine In</t>
  </si>
  <si>
    <t>Size</t>
  </si>
  <si>
    <t>Next Rebate</t>
  </si>
  <si>
    <t>Dish ID</t>
  </si>
  <si>
    <t>Payment Status</t>
  </si>
  <si>
    <t>Previous Rebate:</t>
  </si>
  <si>
    <t>Total Pay amount</t>
  </si>
  <si>
    <t>Next rebate:</t>
  </si>
  <si>
    <t>Total Amount:</t>
  </si>
  <si>
    <t>Descriptions</t>
  </si>
  <si>
    <t>Package 打包</t>
  </si>
  <si>
    <t>Customer Receipts:</t>
  </si>
  <si>
    <t>Food</t>
  </si>
  <si>
    <t>Channel</t>
  </si>
  <si>
    <t>DineIn 吃</t>
  </si>
  <si>
    <t>FoodPanda</t>
  </si>
  <si>
    <t>Deliveroo</t>
  </si>
  <si>
    <t>GrabFood</t>
  </si>
  <si>
    <t>Big 大</t>
  </si>
  <si>
    <t>Small 小</t>
  </si>
  <si>
    <t>Medium 中</t>
  </si>
  <si>
    <t>Handphone</t>
  </si>
  <si>
    <t>No of Item(s):</t>
  </si>
  <si>
    <t>Dish Name</t>
  </si>
  <si>
    <t>HongYun Seafood Enterprise
 (HP: 8142 7459)</t>
  </si>
  <si>
    <t>Data File Path:</t>
  </si>
  <si>
    <t>Invoice No</t>
  </si>
  <si>
    <t>HongYun Seafood Enterprise
 (Cashier)</t>
  </si>
  <si>
    <t>HongYun Seafood Enterprise
 (Kitchen)</t>
  </si>
  <si>
    <t>Previous Rebate</t>
  </si>
  <si>
    <t>Final Price</t>
  </si>
  <si>
    <t>Email</t>
  </si>
  <si>
    <t/>
  </si>
  <si>
    <t>Huangkai8652@hotmail.com; Kaiyin1991@gmail.com</t>
  </si>
  <si>
    <t>06092020210849</t>
  </si>
  <si>
    <t>06092020222626</t>
  </si>
  <si>
    <t>Available 可用的</t>
  </si>
  <si>
    <t>Seaweed with Beancurd Soup 紫菜豆腐汤</t>
  </si>
  <si>
    <t>Mixed Vegetables Soup 什菜什汤</t>
  </si>
  <si>
    <t>C:\Users\Hp\Desktop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</si>
</sst>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/mmm\/yyyy\ hh:mm:ss\ AM/PM;@"/>
    <numFmt numFmtId="165" formatCode="[$-409]dd\/mmm\/yyyy\ hh:mm:ss;@"/>
    <numFmt numFmtId="166" formatCode="[$-409]dd\-mmm\-yyyy\ hh:mm:ss\ AM/PM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rgb="FFFF0000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0" fontId="0" fillId="2" borderId="0" xfId="0" applyFill="1" applyAlignment="1">
      <alignment horizontal="left"/>
    </xf>
    <xf numFmtId="0" fontId="0" fillId="0" borderId="0" xfId="0" applyAlignmen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44" fontId="0" fillId="2" borderId="0" xfId="1" applyFon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6" fillId="2" borderId="0" xfId="0" applyFont="1" applyFill="1" applyAlignment="1"/>
    <xf numFmtId="0" fontId="0" fillId="0" borderId="0" xfId="0" applyAlignment="1">
      <alignment wrapText="1"/>
    </xf>
    <xf numFmtId="49" fontId="0" fillId="0" borderId="0" xfId="0" applyNumberFormat="1"/>
    <xf numFmtId="2" fontId="0" fillId="2" borderId="0" xfId="2" applyNumberFormat="1" applyFont="1" applyFill="1" applyAlignment="1">
      <alignment horizontal="center"/>
    </xf>
    <xf numFmtId="0" fontId="2" fillId="3" borderId="0" xfId="0" applyFont="1" applyFill="1" applyAlignment="1">
      <alignment horizontal="right"/>
    </xf>
    <xf numFmtId="0" fontId="2" fillId="2" borderId="2" xfId="0" applyFont="1" applyFill="1" applyBorder="1" applyAlignment="1">
      <alignment horizontal="center"/>
    </xf>
    <xf numFmtId="0" fontId="0" fillId="2" borderId="0" xfId="0" applyFill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Border="1"/>
    <xf numFmtId="14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/>
    <xf numFmtId="44" fontId="0" fillId="0" borderId="0" xfId="1" applyFont="1"/>
    <xf numFmtId="7" fontId="0" fillId="0" borderId="0" xfId="0" applyNumberFormat="1"/>
    <xf numFmtId="49" fontId="0" fillId="0" borderId="0" xfId="1" applyNumberFormat="1" applyFont="1" applyAlignment="1">
      <alignment horizontal="center"/>
    </xf>
    <xf numFmtId="0" fontId="9" fillId="0" borderId="0" xfId="3"/>
    <xf numFmtId="0" fontId="0" fillId="4" borderId="0" xfId="0" applyFill="1"/>
    <xf numFmtId="0" fontId="0" fillId="4" borderId="0" xfId="0" applyFill="1" applyAlignment="1"/>
    <xf numFmtId="0" fontId="3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7" fontId="0" fillId="2" borderId="1" xfId="1" applyNumberFormat="1" applyFont="1" applyFill="1" applyBorder="1" applyAlignment="1">
      <alignment horizontal="center"/>
    </xf>
    <xf numFmtId="44" fontId="0" fillId="2" borderId="1" xfId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7" fontId="0" fillId="2" borderId="0" xfId="1" applyNumberFormat="1" applyFont="1" applyFill="1" applyAlignment="1">
      <alignment horizontal="center"/>
    </xf>
    <xf numFmtId="44" fontId="0" fillId="2" borderId="0" xfId="1" applyFont="1" applyFill="1" applyAlignment="1">
      <alignment horizontal="center"/>
    </xf>
    <xf numFmtId="44" fontId="2" fillId="3" borderId="0" xfId="1" applyFont="1" applyFill="1" applyAlignment="1">
      <alignment horizontal="center"/>
    </xf>
  </cellXfs>
  <cellStyles count="4">
    <cellStyle name="Comma" xfId="2" builtinId="3"/>
    <cellStyle name="Currency" xfId="1" builtinId="4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57150</xdr:rowOff>
    </xdr:from>
    <xdr:to>
      <xdr:col>11</xdr:col>
      <xdr:colOff>514350</xdr:colOff>
      <xdr:row>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85725" y="57150"/>
          <a:ext cx="7134225" cy="90487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ctr" rtl="0">
            <a:defRPr sz="1000"/>
          </a:pPr>
          <a:r>
            <a:rPr lang="en-US" sz="2400" b="1" i="0" u="none" strike="noStrike" baseline="0">
              <a:solidFill>
                <a:srgbClr val="FF0000"/>
              </a:solidFill>
              <a:latin typeface="Bell MT" panose="02020503060305020303" pitchFamily="18" charset="0"/>
              <a:cs typeface="Calibri"/>
            </a:rPr>
            <a:t>鸿   运   海   鲜</a:t>
          </a: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70C0"/>
              </a:solidFill>
              <a:latin typeface="Bell MT" panose="02020503060305020303" pitchFamily="18" charset="0"/>
              <a:cs typeface="Calibri"/>
            </a:rPr>
            <a:t>Hongyun Seafood Enterprise</a:t>
          </a:r>
        </a:p>
      </xdr:txBody>
    </xdr:sp>
    <xdr:clientData/>
  </xdr:twoCellAnchor>
  <xdr:twoCellAnchor>
    <xdr:from>
      <xdr:col>0</xdr:col>
      <xdr:colOff>219075</xdr:colOff>
      <xdr:row>2</xdr:row>
      <xdr:rowOff>0</xdr:rowOff>
    </xdr:from>
    <xdr:to>
      <xdr:col>2</xdr:col>
      <xdr:colOff>466725</xdr:colOff>
      <xdr:row>4</xdr:row>
      <xdr:rowOff>180975</xdr:rowOff>
    </xdr:to>
    <xdr:sp macro="[0]!MainTab" textlink="">
      <xdr:nvSpPr>
        <xdr:cNvPr id="4" name="Rectangle 3"/>
        <xdr:cNvSpPr/>
      </xdr:nvSpPr>
      <xdr:spPr>
        <a:xfrm>
          <a:off x="219075" y="1238250"/>
          <a:ext cx="1466850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POS-New</a:t>
          </a:r>
        </a:p>
      </xdr:txBody>
    </xdr:sp>
    <xdr:clientData/>
  </xdr:twoCellAnchor>
  <xdr:twoCellAnchor>
    <xdr:from>
      <xdr:col>0</xdr:col>
      <xdr:colOff>209550</xdr:colOff>
      <xdr:row>5</xdr:row>
      <xdr:rowOff>104775</xdr:rowOff>
    </xdr:from>
    <xdr:to>
      <xdr:col>2</xdr:col>
      <xdr:colOff>457200</xdr:colOff>
      <xdr:row>9</xdr:row>
      <xdr:rowOff>9525</xdr:rowOff>
    </xdr:to>
    <xdr:sp macro="" textlink="">
      <xdr:nvSpPr>
        <xdr:cNvPr id="6" name="Rectangle 5"/>
        <xdr:cNvSpPr/>
      </xdr:nvSpPr>
      <xdr:spPr>
        <a:xfrm>
          <a:off x="209550" y="1828800"/>
          <a:ext cx="1466850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Inventory</a:t>
          </a:r>
        </a:p>
      </xdr:txBody>
    </xdr:sp>
    <xdr:clientData/>
  </xdr:twoCellAnchor>
  <xdr:twoCellAnchor>
    <xdr:from>
      <xdr:col>3</xdr:col>
      <xdr:colOff>66675</xdr:colOff>
      <xdr:row>5</xdr:row>
      <xdr:rowOff>114300</xdr:rowOff>
    </xdr:from>
    <xdr:to>
      <xdr:col>5</xdr:col>
      <xdr:colOff>314325</xdr:colOff>
      <xdr:row>9</xdr:row>
      <xdr:rowOff>19050</xdr:rowOff>
    </xdr:to>
    <xdr:sp macro="" textlink="">
      <xdr:nvSpPr>
        <xdr:cNvPr id="7" name="Rectangle 6"/>
        <xdr:cNvSpPr/>
      </xdr:nvSpPr>
      <xdr:spPr>
        <a:xfrm>
          <a:off x="1895475" y="1666875"/>
          <a:ext cx="1466850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Payment</a:t>
          </a:r>
        </a:p>
      </xdr:txBody>
    </xdr:sp>
    <xdr:clientData/>
  </xdr:twoCellAnchor>
  <xdr:twoCellAnchor>
    <xdr:from>
      <xdr:col>0</xdr:col>
      <xdr:colOff>200025</xdr:colOff>
      <xdr:row>9</xdr:row>
      <xdr:rowOff>152400</xdr:rowOff>
    </xdr:from>
    <xdr:to>
      <xdr:col>2</xdr:col>
      <xdr:colOff>447675</xdr:colOff>
      <xdr:row>13</xdr:row>
      <xdr:rowOff>57150</xdr:rowOff>
    </xdr:to>
    <xdr:sp macro="" textlink="">
      <xdr:nvSpPr>
        <xdr:cNvPr id="8" name="Rectangle 7"/>
        <xdr:cNvSpPr/>
      </xdr:nvSpPr>
      <xdr:spPr>
        <a:xfrm>
          <a:off x="200025" y="2638425"/>
          <a:ext cx="1466850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Reports</a:t>
          </a:r>
        </a:p>
      </xdr:txBody>
    </xdr:sp>
    <xdr:clientData/>
  </xdr:twoCellAnchor>
  <xdr:twoCellAnchor>
    <xdr:from>
      <xdr:col>3</xdr:col>
      <xdr:colOff>57149</xdr:colOff>
      <xdr:row>2</xdr:row>
      <xdr:rowOff>0</xdr:rowOff>
    </xdr:from>
    <xdr:to>
      <xdr:col>6</xdr:col>
      <xdr:colOff>38100</xdr:colOff>
      <xdr:row>5</xdr:row>
      <xdr:rowOff>0</xdr:rowOff>
    </xdr:to>
    <xdr:sp macro="[0]!UpdateTab" textlink="">
      <xdr:nvSpPr>
        <xdr:cNvPr id="9" name="Rectangle 8"/>
        <xdr:cNvSpPr/>
      </xdr:nvSpPr>
      <xdr:spPr>
        <a:xfrm>
          <a:off x="1885949" y="1171575"/>
          <a:ext cx="1809751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POS-Update</a:t>
          </a:r>
        </a:p>
      </xdr:txBody>
    </xdr:sp>
    <xdr:clientData/>
  </xdr:twoCellAnchor>
  <xdr:twoCellAnchor>
    <xdr:from>
      <xdr:col>6</xdr:col>
      <xdr:colOff>238125</xdr:colOff>
      <xdr:row>2</xdr:row>
      <xdr:rowOff>9525</xdr:rowOff>
    </xdr:from>
    <xdr:to>
      <xdr:col>9</xdr:col>
      <xdr:colOff>219076</xdr:colOff>
      <xdr:row>5</xdr:row>
      <xdr:rowOff>9525</xdr:rowOff>
    </xdr:to>
    <xdr:sp macro="[0]!DeleteTab" textlink="">
      <xdr:nvSpPr>
        <xdr:cNvPr id="10" name="Rectangle 9"/>
        <xdr:cNvSpPr/>
      </xdr:nvSpPr>
      <xdr:spPr>
        <a:xfrm>
          <a:off x="3895725" y="1181100"/>
          <a:ext cx="1809751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POS-Delete</a:t>
          </a:r>
        </a:p>
      </xdr:txBody>
    </xdr:sp>
    <xdr:clientData/>
  </xdr:twoCellAnchor>
  <xdr:twoCellAnchor>
    <xdr:from>
      <xdr:col>9</xdr:col>
      <xdr:colOff>438150</xdr:colOff>
      <xdr:row>2</xdr:row>
      <xdr:rowOff>9525</xdr:rowOff>
    </xdr:from>
    <xdr:to>
      <xdr:col>12</xdr:col>
      <xdr:colOff>419101</xdr:colOff>
      <xdr:row>5</xdr:row>
      <xdr:rowOff>9525</xdr:rowOff>
    </xdr:to>
    <xdr:sp macro="[0]!EnquiryTab" textlink="">
      <xdr:nvSpPr>
        <xdr:cNvPr id="11" name="Rectangle 10"/>
        <xdr:cNvSpPr/>
      </xdr:nvSpPr>
      <xdr:spPr>
        <a:xfrm>
          <a:off x="5924550" y="1181100"/>
          <a:ext cx="1809751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POS-Enquiry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Huangkai8652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zoomScaleNormal="100" workbookViewId="0">
      <selection activeCell="F15" sqref="F15"/>
    </sheetView>
  </sheetViews>
  <sheetFormatPr defaultRowHeight="15" x14ac:dyDescent="0.25"/>
  <cols>
    <col min="1" max="1" width="9.140625" style="22"/>
    <col min="2" max="2" width="9.140625" style="24"/>
    <col min="3" max="3" width="9.140625" style="15"/>
  </cols>
  <sheetData>
    <row r="1" ht="77.25" customHeight="1" x14ac:dyDescent="0.25"/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5"/>
  <sheetViews>
    <sheetView workbookViewId="0">
      <selection activeCell="E2" sqref="E2:I5"/>
    </sheetView>
  </sheetViews>
  <sheetFormatPr defaultRowHeight="15" x14ac:dyDescent="0.25"/>
  <cols>
    <col min="1" max="1" width="13.28515625" style="21" bestFit="1" customWidth="1"/>
    <col min="2" max="2" width="23.42578125" style="1" bestFit="1" customWidth="1"/>
    <col min="3" max="3" width="13.140625" style="20" bestFit="1" customWidth="1"/>
    <col min="4" max="4" width="16.7109375" style="1" bestFit="1" customWidth="1"/>
    <col min="5" max="5" width="7.140625" bestFit="1" customWidth="1"/>
    <col min="6" max="6" width="21.42578125" style="2" bestFit="1" customWidth="1"/>
    <col min="7" max="7" width="8.7109375" style="2" bestFit="1" customWidth="1"/>
    <col min="8" max="8" width="11.140625" style="2" bestFit="1" customWidth="1"/>
    <col min="9" max="9" width="8" style="3" bestFit="1" customWidth="1"/>
    <col min="10" max="10" width="11.7109375" style="3" bestFit="1" customWidth="1"/>
    <col min="11" max="11" width="12.7109375" style="28" bestFit="1" customWidth="1"/>
    <col min="12" max="12" width="12" bestFit="1" customWidth="1"/>
    <col min="13" max="13" width="14.85546875" bestFit="1" customWidth="1"/>
    <col min="14" max="14" width="11.5703125" bestFit="1" customWidth="1"/>
    <col min="15" max="15" width="14.85546875" bestFit="1" customWidth="1"/>
  </cols>
  <sheetData>
    <row r="1" spans="1:15" x14ac:dyDescent="0.25">
      <c r="A1" s="21" t="s">
        <v>197</v>
      </c>
      <c r="B1" s="1" t="s">
        <v>3</v>
      </c>
      <c r="C1" s="20" t="s">
        <v>228</v>
      </c>
      <c r="D1" s="1" t="s">
        <v>198</v>
      </c>
      <c r="E1" t="s">
        <v>205</v>
      </c>
      <c r="F1" s="2" t="s">
        <v>211</v>
      </c>
      <c r="G1" s="2" t="s">
        <v>1</v>
      </c>
      <c r="H1" s="2" t="s">
        <v>203</v>
      </c>
      <c r="I1" s="3" t="s">
        <v>0</v>
      </c>
      <c r="J1" s="3" t="s">
        <v>201</v>
      </c>
      <c r="K1" s="28" t="s">
        <v>223</v>
      </c>
      <c r="L1" t="s">
        <v>204</v>
      </c>
      <c r="M1" s="3" t="s">
        <v>231</v>
      </c>
      <c r="N1" s="3" t="s">
        <v>232</v>
      </c>
      <c r="O1" t="s">
        <v>206</v>
      </c>
    </row>
    <row r="2" spans="1:15" x14ac:dyDescent="0.25">
      <c r="B2" s="23"/>
      <c r="M2" s="27"/>
      <c r="N2" s="27"/>
    </row>
    <row r="3" spans="1:15" x14ac:dyDescent="0.25">
      <c r="B3" s="23"/>
    </row>
    <row r="4" spans="1:15" x14ac:dyDescent="0.25">
      <c r="B4" s="23"/>
    </row>
    <row r="5" spans="1:15" x14ac:dyDescent="0.25">
      <c r="B5" s="2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83"/>
  <sheetViews>
    <sheetView topLeftCell="B1" workbookViewId="0">
      <pane ySplit="1" topLeftCell="A2" activePane="bottomLeft" state="frozen"/>
      <selection pane="bottomLeft" activeCell="H1" sqref="H1"/>
    </sheetView>
  </sheetViews>
  <sheetFormatPr defaultRowHeight="15" x14ac:dyDescent="0.25"/>
  <cols>
    <col min="1" max="1" width="13.28515625" bestFit="1" customWidth="1"/>
    <col min="2" max="2" width="7.7109375" bestFit="1" customWidth="1"/>
    <col min="3" max="3" width="7.140625" bestFit="1" customWidth="1"/>
    <col min="4" max="4" width="18.5703125" bestFit="1" customWidth="1"/>
    <col min="5" max="5" width="51.28515625" style="30" customWidth="1"/>
    <col min="6" max="6" width="11.140625" bestFit="1" customWidth="1"/>
    <col min="7" max="7" width="8" style="3" bestFit="1" customWidth="1"/>
    <col min="8" max="8" width="16.7109375" bestFit="1" customWidth="1"/>
  </cols>
  <sheetData>
    <row r="1" spans="1:10" x14ac:dyDescent="0.25">
      <c r="A1" t="s">
        <v>197</v>
      </c>
      <c r="B1" t="s">
        <v>2</v>
      </c>
      <c r="C1" t="s">
        <v>205</v>
      </c>
      <c r="D1" t="s">
        <v>4</v>
      </c>
      <c r="E1" s="30" t="s">
        <v>211</v>
      </c>
      <c r="F1" t="s">
        <v>203</v>
      </c>
      <c r="G1" s="3" t="s">
        <v>0</v>
      </c>
      <c r="H1" t="s">
        <v>238</v>
      </c>
      <c r="J1" s="14" t="s">
        <v>220</v>
      </c>
    </row>
    <row r="2" spans="1:10" x14ac:dyDescent="0.25">
      <c r="A2" t="s">
        <v>202</v>
      </c>
      <c r="B2">
        <v>310233</v>
      </c>
      <c r="C2">
        <v>1</v>
      </c>
      <c r="D2" t="s">
        <v>5</v>
      </c>
      <c r="E2" s="30" t="s">
        <v>6</v>
      </c>
      <c r="F2" t="s">
        <v>221</v>
      </c>
      <c r="G2" s="3">
        <v>4.5</v>
      </c>
      <c r="J2" t="s">
        <v>221</v>
      </c>
    </row>
    <row r="3" spans="1:10" x14ac:dyDescent="0.25">
      <c r="A3" t="s">
        <v>202</v>
      </c>
      <c r="B3">
        <v>310233</v>
      </c>
      <c r="C3">
        <v>2</v>
      </c>
      <c r="D3" t="s">
        <v>5</v>
      </c>
      <c r="E3" s="30" t="s">
        <v>6</v>
      </c>
      <c r="F3" t="s">
        <v>221</v>
      </c>
      <c r="G3" s="3">
        <v>4</v>
      </c>
      <c r="J3" t="s">
        <v>222</v>
      </c>
    </row>
    <row r="4" spans="1:10" x14ac:dyDescent="0.25">
      <c r="A4" t="s">
        <v>202</v>
      </c>
      <c r="B4">
        <v>310233</v>
      </c>
      <c r="C4">
        <v>3</v>
      </c>
      <c r="D4" t="s">
        <v>5</v>
      </c>
      <c r="E4" s="30" t="s">
        <v>6</v>
      </c>
      <c r="F4" t="s">
        <v>221</v>
      </c>
      <c r="G4" s="3">
        <v>4.5</v>
      </c>
    </row>
    <row r="5" spans="1:10" x14ac:dyDescent="0.25">
      <c r="A5" t="s">
        <v>202</v>
      </c>
      <c r="B5">
        <v>310233</v>
      </c>
      <c r="C5">
        <v>4</v>
      </c>
      <c r="D5" t="s">
        <v>5</v>
      </c>
      <c r="E5" s="30" t="s">
        <v>7</v>
      </c>
      <c r="F5" t="s">
        <v>221</v>
      </c>
      <c r="G5" s="3">
        <v>4</v>
      </c>
    </row>
    <row r="6" spans="1:10" x14ac:dyDescent="0.25">
      <c r="A6" t="s">
        <v>202</v>
      </c>
      <c r="B6">
        <v>310233</v>
      </c>
      <c r="C6">
        <v>5</v>
      </c>
      <c r="D6" t="s">
        <v>5</v>
      </c>
      <c r="E6" s="30" t="s">
        <v>11</v>
      </c>
      <c r="F6" t="s">
        <v>222</v>
      </c>
      <c r="G6" s="3">
        <v>5</v>
      </c>
    </row>
    <row r="7" spans="1:10" x14ac:dyDescent="0.25">
      <c r="A7" t="s">
        <v>202</v>
      </c>
      <c r="B7">
        <v>310233</v>
      </c>
      <c r="C7">
        <v>6</v>
      </c>
      <c r="D7" t="s">
        <v>5</v>
      </c>
      <c r="E7" s="30" t="s">
        <v>240</v>
      </c>
      <c r="F7" t="s">
        <v>222</v>
      </c>
      <c r="G7" s="3">
        <v>5</v>
      </c>
    </row>
    <row r="8" spans="1:10" x14ac:dyDescent="0.25">
      <c r="A8" t="s">
        <v>202</v>
      </c>
      <c r="B8">
        <v>310233</v>
      </c>
      <c r="C8">
        <v>7</v>
      </c>
      <c r="D8" t="s">
        <v>5</v>
      </c>
      <c r="E8" s="30" t="s">
        <v>12</v>
      </c>
      <c r="F8" t="s">
        <v>222</v>
      </c>
      <c r="G8" s="3">
        <v>5</v>
      </c>
    </row>
    <row r="9" spans="1:10" x14ac:dyDescent="0.25">
      <c r="A9" t="s">
        <v>202</v>
      </c>
      <c r="B9">
        <v>310233</v>
      </c>
      <c r="C9">
        <v>8</v>
      </c>
      <c r="D9" t="s">
        <v>5</v>
      </c>
      <c r="E9" s="30" t="s">
        <v>13</v>
      </c>
      <c r="F9" t="s">
        <v>222</v>
      </c>
      <c r="G9" s="3">
        <v>5</v>
      </c>
    </row>
    <row r="10" spans="1:10" x14ac:dyDescent="0.25">
      <c r="A10" t="s">
        <v>202</v>
      </c>
      <c r="B10">
        <v>310233</v>
      </c>
      <c r="C10">
        <v>9</v>
      </c>
      <c r="D10" t="s">
        <v>5</v>
      </c>
      <c r="E10" s="30" t="s">
        <v>14</v>
      </c>
      <c r="F10" t="s">
        <v>222</v>
      </c>
      <c r="G10" s="3">
        <v>5</v>
      </c>
    </row>
    <row r="11" spans="1:10" x14ac:dyDescent="0.25">
      <c r="A11" t="s">
        <v>202</v>
      </c>
      <c r="B11">
        <v>310233</v>
      </c>
      <c r="C11">
        <v>10</v>
      </c>
      <c r="D11" t="s">
        <v>5</v>
      </c>
      <c r="E11" s="31" t="s">
        <v>239</v>
      </c>
      <c r="F11" t="s">
        <v>222</v>
      </c>
      <c r="G11" s="3">
        <v>5</v>
      </c>
    </row>
    <row r="12" spans="1:10" x14ac:dyDescent="0.25">
      <c r="A12" t="s">
        <v>202</v>
      </c>
      <c r="B12">
        <v>310233</v>
      </c>
      <c r="C12">
        <v>11</v>
      </c>
      <c r="D12" t="s">
        <v>5</v>
      </c>
      <c r="E12" s="30" t="s">
        <v>15</v>
      </c>
      <c r="F12" t="s">
        <v>222</v>
      </c>
      <c r="G12" s="3">
        <v>5</v>
      </c>
    </row>
    <row r="13" spans="1:10" x14ac:dyDescent="0.25">
      <c r="A13" t="s">
        <v>202</v>
      </c>
      <c r="B13">
        <v>310233</v>
      </c>
      <c r="C13">
        <v>12</v>
      </c>
      <c r="D13" t="s">
        <v>5</v>
      </c>
      <c r="E13" s="30" t="s">
        <v>16</v>
      </c>
      <c r="F13" t="s">
        <v>222</v>
      </c>
      <c r="G13" s="3">
        <v>5</v>
      </c>
    </row>
    <row r="14" spans="1:10" x14ac:dyDescent="0.25">
      <c r="A14" t="s">
        <v>202</v>
      </c>
      <c r="B14">
        <v>310233</v>
      </c>
      <c r="C14">
        <v>13</v>
      </c>
      <c r="D14" t="s">
        <v>5</v>
      </c>
      <c r="E14" s="31" t="s">
        <v>17</v>
      </c>
      <c r="F14" t="s">
        <v>222</v>
      </c>
      <c r="G14" s="3">
        <v>5</v>
      </c>
    </row>
    <row r="15" spans="1:10" x14ac:dyDescent="0.25">
      <c r="A15" t="s">
        <v>202</v>
      </c>
      <c r="B15">
        <v>310233</v>
      </c>
      <c r="C15">
        <v>14</v>
      </c>
      <c r="D15" t="s">
        <v>5</v>
      </c>
      <c r="E15" s="30" t="s">
        <v>18</v>
      </c>
      <c r="F15" t="s">
        <v>222</v>
      </c>
      <c r="G15" s="3">
        <v>5</v>
      </c>
    </row>
    <row r="16" spans="1:10" x14ac:dyDescent="0.25">
      <c r="A16" t="s">
        <v>202</v>
      </c>
      <c r="B16">
        <v>310233</v>
      </c>
      <c r="C16">
        <v>15</v>
      </c>
      <c r="D16" t="s">
        <v>5</v>
      </c>
      <c r="E16" s="30" t="s">
        <v>19</v>
      </c>
      <c r="F16" t="s">
        <v>222</v>
      </c>
      <c r="G16" s="3">
        <v>5</v>
      </c>
    </row>
    <row r="17" spans="1:7" x14ac:dyDescent="0.25">
      <c r="A17" t="s">
        <v>202</v>
      </c>
      <c r="B17">
        <v>310233</v>
      </c>
      <c r="C17">
        <v>16</v>
      </c>
      <c r="D17" t="s">
        <v>5</v>
      </c>
      <c r="E17" s="30" t="s">
        <v>20</v>
      </c>
      <c r="F17" t="s">
        <v>222</v>
      </c>
      <c r="G17" s="3">
        <v>5</v>
      </c>
    </row>
    <row r="18" spans="1:7" x14ac:dyDescent="0.25">
      <c r="A18" t="s">
        <v>202</v>
      </c>
      <c r="B18">
        <v>310233</v>
      </c>
      <c r="C18">
        <v>17</v>
      </c>
      <c r="D18" t="s">
        <v>5</v>
      </c>
      <c r="E18" s="30" t="s">
        <v>21</v>
      </c>
      <c r="F18" t="s">
        <v>222</v>
      </c>
      <c r="G18" s="3">
        <v>5</v>
      </c>
    </row>
    <row r="19" spans="1:7" x14ac:dyDescent="0.25">
      <c r="A19" t="s">
        <v>202</v>
      </c>
      <c r="B19">
        <v>310233</v>
      </c>
      <c r="C19">
        <v>18</v>
      </c>
      <c r="D19" t="s">
        <v>5</v>
      </c>
      <c r="E19" s="31" t="s">
        <v>93</v>
      </c>
      <c r="F19" t="s">
        <v>222</v>
      </c>
      <c r="G19" s="3">
        <v>7</v>
      </c>
    </row>
    <row r="20" spans="1:7" x14ac:dyDescent="0.25">
      <c r="A20" t="s">
        <v>202</v>
      </c>
      <c r="B20">
        <v>310233</v>
      </c>
      <c r="C20">
        <v>19</v>
      </c>
      <c r="D20" t="s">
        <v>94</v>
      </c>
      <c r="E20" s="30" t="s">
        <v>95</v>
      </c>
      <c r="F20" t="s">
        <v>222</v>
      </c>
      <c r="G20" s="3">
        <v>12</v>
      </c>
    </row>
    <row r="21" spans="1:7" x14ac:dyDescent="0.25">
      <c r="A21" t="s">
        <v>202</v>
      </c>
      <c r="B21">
        <v>310233</v>
      </c>
      <c r="C21">
        <v>20</v>
      </c>
      <c r="D21" t="s">
        <v>94</v>
      </c>
      <c r="E21" s="30" t="s">
        <v>96</v>
      </c>
      <c r="F21" t="s">
        <v>222</v>
      </c>
      <c r="G21" s="3">
        <v>12</v>
      </c>
    </row>
    <row r="22" spans="1:7" x14ac:dyDescent="0.25">
      <c r="A22" t="s">
        <v>202</v>
      </c>
      <c r="B22">
        <v>310233</v>
      </c>
      <c r="C22">
        <v>21</v>
      </c>
      <c r="D22" t="s">
        <v>94</v>
      </c>
      <c r="E22" s="30" t="s">
        <v>97</v>
      </c>
      <c r="F22" t="s">
        <v>222</v>
      </c>
      <c r="G22" s="3">
        <v>12</v>
      </c>
    </row>
    <row r="23" spans="1:7" x14ac:dyDescent="0.25">
      <c r="A23" t="s">
        <v>202</v>
      </c>
      <c r="B23">
        <v>310233</v>
      </c>
      <c r="C23">
        <v>22</v>
      </c>
      <c r="D23" t="s">
        <v>94</v>
      </c>
      <c r="E23" s="30" t="s">
        <v>98</v>
      </c>
      <c r="F23" t="s">
        <v>222</v>
      </c>
      <c r="G23" s="3">
        <v>12</v>
      </c>
    </row>
    <row r="24" spans="1:7" x14ac:dyDescent="0.25">
      <c r="A24" t="s">
        <v>202</v>
      </c>
      <c r="B24">
        <v>310233</v>
      </c>
      <c r="C24">
        <v>23</v>
      </c>
      <c r="D24" t="s">
        <v>99</v>
      </c>
      <c r="E24" s="30" t="s">
        <v>100</v>
      </c>
      <c r="F24" t="s">
        <v>222</v>
      </c>
      <c r="G24" s="3">
        <v>15</v>
      </c>
    </row>
    <row r="25" spans="1:7" x14ac:dyDescent="0.25">
      <c r="A25" t="s">
        <v>202</v>
      </c>
      <c r="B25">
        <v>310233</v>
      </c>
      <c r="C25">
        <v>24</v>
      </c>
      <c r="D25" t="s">
        <v>101</v>
      </c>
      <c r="E25" s="30" t="s">
        <v>102</v>
      </c>
      <c r="F25" t="s">
        <v>222</v>
      </c>
      <c r="G25" s="3">
        <v>28</v>
      </c>
    </row>
    <row r="26" spans="1:7" x14ac:dyDescent="0.25">
      <c r="A26" t="s">
        <v>202</v>
      </c>
      <c r="B26">
        <v>310233</v>
      </c>
      <c r="C26">
        <v>25</v>
      </c>
      <c r="D26" t="s">
        <v>101</v>
      </c>
      <c r="E26" s="30" t="s">
        <v>103</v>
      </c>
      <c r="F26" t="s">
        <v>222</v>
      </c>
      <c r="G26" s="3">
        <v>28</v>
      </c>
    </row>
    <row r="27" spans="1:7" x14ac:dyDescent="0.25">
      <c r="A27" t="s">
        <v>202</v>
      </c>
      <c r="B27">
        <v>310233</v>
      </c>
      <c r="C27">
        <v>26</v>
      </c>
      <c r="D27" t="s">
        <v>101</v>
      </c>
      <c r="E27" s="30" t="s">
        <v>104</v>
      </c>
      <c r="F27" t="s">
        <v>222</v>
      </c>
      <c r="G27" s="3">
        <v>28</v>
      </c>
    </row>
    <row r="28" spans="1:7" x14ac:dyDescent="0.25">
      <c r="A28" t="s">
        <v>202</v>
      </c>
      <c r="B28">
        <v>310233</v>
      </c>
      <c r="C28">
        <v>27</v>
      </c>
      <c r="D28" t="s">
        <v>101</v>
      </c>
      <c r="E28" s="30" t="s">
        <v>105</v>
      </c>
      <c r="F28" t="s">
        <v>222</v>
      </c>
      <c r="G28" s="3">
        <v>28</v>
      </c>
    </row>
    <row r="29" spans="1:7" x14ac:dyDescent="0.25">
      <c r="A29" t="s">
        <v>202</v>
      </c>
      <c r="B29">
        <v>310233</v>
      </c>
      <c r="C29">
        <v>28</v>
      </c>
      <c r="D29" t="s">
        <v>101</v>
      </c>
      <c r="E29" s="30" t="s">
        <v>106</v>
      </c>
      <c r="F29" t="s">
        <v>222</v>
      </c>
      <c r="G29" s="3">
        <v>28</v>
      </c>
    </row>
    <row r="30" spans="1:7" x14ac:dyDescent="0.25">
      <c r="A30" t="s">
        <v>202</v>
      </c>
      <c r="B30">
        <v>310233</v>
      </c>
      <c r="C30">
        <v>29</v>
      </c>
      <c r="D30" t="s">
        <v>101</v>
      </c>
      <c r="E30" s="30" t="s">
        <v>107</v>
      </c>
      <c r="F30" t="s">
        <v>222</v>
      </c>
      <c r="G30" s="3">
        <v>28</v>
      </c>
    </row>
    <row r="31" spans="1:7" x14ac:dyDescent="0.25">
      <c r="A31" t="s">
        <v>202</v>
      </c>
      <c r="B31">
        <v>310233</v>
      </c>
      <c r="C31">
        <v>30</v>
      </c>
      <c r="D31" t="s">
        <v>101</v>
      </c>
      <c r="E31" s="30" t="s">
        <v>108</v>
      </c>
      <c r="F31" t="s">
        <v>222</v>
      </c>
      <c r="G31" s="3">
        <v>28</v>
      </c>
    </row>
    <row r="32" spans="1:7" x14ac:dyDescent="0.25">
      <c r="A32" t="s">
        <v>202</v>
      </c>
      <c r="B32">
        <v>310233</v>
      </c>
      <c r="C32">
        <v>31</v>
      </c>
      <c r="D32" t="s">
        <v>101</v>
      </c>
      <c r="E32" s="30" t="s">
        <v>109</v>
      </c>
      <c r="F32" t="s">
        <v>222</v>
      </c>
      <c r="G32" s="3">
        <v>28</v>
      </c>
    </row>
    <row r="33" spans="1:7" x14ac:dyDescent="0.25">
      <c r="A33" t="s">
        <v>202</v>
      </c>
      <c r="B33">
        <v>310233</v>
      </c>
      <c r="C33">
        <v>32</v>
      </c>
      <c r="D33" t="s">
        <v>101</v>
      </c>
      <c r="E33" s="30" t="s">
        <v>109</v>
      </c>
      <c r="F33" t="s">
        <v>222</v>
      </c>
      <c r="G33" s="3">
        <v>28</v>
      </c>
    </row>
    <row r="34" spans="1:7" x14ac:dyDescent="0.25">
      <c r="A34" t="s">
        <v>202</v>
      </c>
      <c r="B34">
        <v>310233</v>
      </c>
      <c r="C34">
        <v>33</v>
      </c>
      <c r="D34" t="s">
        <v>110</v>
      </c>
      <c r="E34" s="30" t="s">
        <v>111</v>
      </c>
      <c r="F34" t="s">
        <v>222</v>
      </c>
      <c r="G34" s="3">
        <v>16</v>
      </c>
    </row>
    <row r="35" spans="1:7" x14ac:dyDescent="0.25">
      <c r="A35" t="s">
        <v>202</v>
      </c>
      <c r="B35">
        <v>310233</v>
      </c>
      <c r="C35">
        <v>34</v>
      </c>
      <c r="D35" t="s">
        <v>110</v>
      </c>
      <c r="E35" s="30" t="s">
        <v>112</v>
      </c>
      <c r="F35" t="s">
        <v>222</v>
      </c>
      <c r="G35" s="3">
        <v>16</v>
      </c>
    </row>
    <row r="36" spans="1:7" x14ac:dyDescent="0.25">
      <c r="A36" t="s">
        <v>202</v>
      </c>
      <c r="B36">
        <v>310233</v>
      </c>
      <c r="C36">
        <v>35</v>
      </c>
      <c r="D36" t="s">
        <v>110</v>
      </c>
      <c r="E36" s="30" t="s">
        <v>113</v>
      </c>
      <c r="F36" t="s">
        <v>222</v>
      </c>
      <c r="G36" s="3">
        <v>16</v>
      </c>
    </row>
    <row r="37" spans="1:7" x14ac:dyDescent="0.25">
      <c r="A37" t="s">
        <v>202</v>
      </c>
      <c r="B37">
        <v>310233</v>
      </c>
      <c r="C37">
        <v>36</v>
      </c>
      <c r="D37" t="s">
        <v>110</v>
      </c>
      <c r="E37" s="30" t="s">
        <v>114</v>
      </c>
      <c r="F37" t="s">
        <v>222</v>
      </c>
      <c r="G37" s="3">
        <v>16</v>
      </c>
    </row>
    <row r="38" spans="1:7" x14ac:dyDescent="0.25">
      <c r="A38" t="s">
        <v>202</v>
      </c>
      <c r="B38">
        <v>310233</v>
      </c>
      <c r="C38">
        <v>37</v>
      </c>
      <c r="D38" t="s">
        <v>110</v>
      </c>
      <c r="E38" s="30" t="s">
        <v>115</v>
      </c>
      <c r="F38" t="s">
        <v>222</v>
      </c>
      <c r="G38" s="3">
        <v>16</v>
      </c>
    </row>
    <row r="39" spans="1:7" x14ac:dyDescent="0.25">
      <c r="A39" t="s">
        <v>202</v>
      </c>
      <c r="B39">
        <v>310233</v>
      </c>
      <c r="C39">
        <v>38</v>
      </c>
      <c r="D39" t="s">
        <v>110</v>
      </c>
      <c r="E39" s="30" t="s">
        <v>116</v>
      </c>
      <c r="F39" t="s">
        <v>222</v>
      </c>
      <c r="G39" s="3">
        <v>16</v>
      </c>
    </row>
    <row r="40" spans="1:7" x14ac:dyDescent="0.25">
      <c r="A40" t="s">
        <v>202</v>
      </c>
      <c r="B40">
        <v>310233</v>
      </c>
      <c r="C40">
        <v>39</v>
      </c>
      <c r="D40" t="s">
        <v>110</v>
      </c>
      <c r="E40" s="30" t="s">
        <v>117</v>
      </c>
      <c r="F40" t="s">
        <v>222</v>
      </c>
      <c r="G40" s="3">
        <v>16</v>
      </c>
    </row>
    <row r="41" spans="1:7" x14ac:dyDescent="0.25">
      <c r="A41" t="s">
        <v>202</v>
      </c>
      <c r="B41">
        <v>310233</v>
      </c>
      <c r="C41">
        <v>40</v>
      </c>
      <c r="D41" t="s">
        <v>110</v>
      </c>
      <c r="E41" s="30" t="s">
        <v>118</v>
      </c>
      <c r="F41" t="s">
        <v>222</v>
      </c>
      <c r="G41" s="3">
        <v>16</v>
      </c>
    </row>
    <row r="42" spans="1:7" x14ac:dyDescent="0.25">
      <c r="A42" t="s">
        <v>202</v>
      </c>
      <c r="B42">
        <v>310233</v>
      </c>
      <c r="C42">
        <v>41</v>
      </c>
      <c r="D42" t="s">
        <v>110</v>
      </c>
      <c r="E42" s="30" t="s">
        <v>119</v>
      </c>
      <c r="F42" t="s">
        <v>222</v>
      </c>
      <c r="G42" s="3">
        <v>16</v>
      </c>
    </row>
    <row r="43" spans="1:7" x14ac:dyDescent="0.25">
      <c r="A43" t="s">
        <v>202</v>
      </c>
      <c r="B43">
        <v>310233</v>
      </c>
      <c r="C43">
        <v>42</v>
      </c>
      <c r="D43" t="s">
        <v>110</v>
      </c>
      <c r="E43" s="30" t="s">
        <v>120</v>
      </c>
      <c r="F43" t="s">
        <v>222</v>
      </c>
      <c r="G43" s="3">
        <v>16</v>
      </c>
    </row>
    <row r="44" spans="1:7" x14ac:dyDescent="0.25">
      <c r="A44" t="s">
        <v>202</v>
      </c>
      <c r="B44">
        <v>310233</v>
      </c>
      <c r="C44">
        <v>43</v>
      </c>
      <c r="D44" t="s">
        <v>121</v>
      </c>
      <c r="E44" s="30" t="s">
        <v>122</v>
      </c>
      <c r="F44" t="s">
        <v>222</v>
      </c>
      <c r="G44" s="3">
        <v>10</v>
      </c>
    </row>
    <row r="45" spans="1:7" x14ac:dyDescent="0.25">
      <c r="A45" t="s">
        <v>202</v>
      </c>
      <c r="B45">
        <v>310233</v>
      </c>
      <c r="C45">
        <v>44</v>
      </c>
      <c r="D45" t="s">
        <v>121</v>
      </c>
      <c r="E45" s="30" t="s">
        <v>123</v>
      </c>
      <c r="F45" t="s">
        <v>222</v>
      </c>
      <c r="G45" s="3">
        <v>10</v>
      </c>
    </row>
    <row r="46" spans="1:7" x14ac:dyDescent="0.25">
      <c r="A46" t="s">
        <v>202</v>
      </c>
      <c r="B46">
        <v>310233</v>
      </c>
      <c r="C46">
        <v>45</v>
      </c>
      <c r="D46" t="s">
        <v>121</v>
      </c>
      <c r="E46" s="30" t="s">
        <v>124</v>
      </c>
      <c r="F46" t="s">
        <v>222</v>
      </c>
      <c r="G46" s="3">
        <v>10</v>
      </c>
    </row>
    <row r="47" spans="1:7" x14ac:dyDescent="0.25">
      <c r="A47" t="s">
        <v>202</v>
      </c>
      <c r="B47">
        <v>310233</v>
      </c>
      <c r="C47">
        <v>46</v>
      </c>
      <c r="D47" t="s">
        <v>121</v>
      </c>
      <c r="E47" s="30" t="s">
        <v>125</v>
      </c>
      <c r="F47" t="s">
        <v>222</v>
      </c>
      <c r="G47" s="3">
        <v>10</v>
      </c>
    </row>
    <row r="48" spans="1:7" x14ac:dyDescent="0.25">
      <c r="A48" t="s">
        <v>202</v>
      </c>
      <c r="B48">
        <v>310233</v>
      </c>
      <c r="C48">
        <v>47</v>
      </c>
      <c r="D48" t="s">
        <v>121</v>
      </c>
      <c r="E48" s="30" t="s">
        <v>126</v>
      </c>
      <c r="F48" t="s">
        <v>222</v>
      </c>
      <c r="G48" s="3">
        <v>10</v>
      </c>
    </row>
    <row r="49" spans="1:7" x14ac:dyDescent="0.25">
      <c r="A49" t="s">
        <v>202</v>
      </c>
      <c r="B49">
        <v>310233</v>
      </c>
      <c r="C49">
        <v>48</v>
      </c>
      <c r="D49" t="s">
        <v>121</v>
      </c>
      <c r="E49" s="30" t="s">
        <v>127</v>
      </c>
      <c r="F49" t="s">
        <v>222</v>
      </c>
      <c r="G49" s="3">
        <v>10</v>
      </c>
    </row>
    <row r="50" spans="1:7" x14ac:dyDescent="0.25">
      <c r="A50" t="s">
        <v>202</v>
      </c>
      <c r="B50">
        <v>310233</v>
      </c>
      <c r="C50">
        <v>49</v>
      </c>
      <c r="D50" t="s">
        <v>121</v>
      </c>
      <c r="E50" s="30" t="s">
        <v>128</v>
      </c>
      <c r="F50" t="s">
        <v>222</v>
      </c>
      <c r="G50" s="3">
        <v>10</v>
      </c>
    </row>
    <row r="51" spans="1:7" x14ac:dyDescent="0.25">
      <c r="A51" t="s">
        <v>202</v>
      </c>
      <c r="B51">
        <v>310233</v>
      </c>
      <c r="C51">
        <v>50</v>
      </c>
      <c r="D51" t="s">
        <v>121</v>
      </c>
      <c r="E51" s="30" t="s">
        <v>129</v>
      </c>
      <c r="F51" t="s">
        <v>222</v>
      </c>
      <c r="G51" s="3">
        <v>10</v>
      </c>
    </row>
    <row r="52" spans="1:7" x14ac:dyDescent="0.25">
      <c r="A52" t="s">
        <v>202</v>
      </c>
      <c r="B52">
        <v>310233</v>
      </c>
      <c r="C52">
        <v>51</v>
      </c>
      <c r="D52" t="s">
        <v>121</v>
      </c>
      <c r="E52" s="30" t="s">
        <v>130</v>
      </c>
      <c r="F52" t="s">
        <v>222</v>
      </c>
      <c r="G52" s="3">
        <v>10</v>
      </c>
    </row>
    <row r="53" spans="1:7" x14ac:dyDescent="0.25">
      <c r="A53" t="s">
        <v>202</v>
      </c>
      <c r="B53">
        <v>310233</v>
      </c>
      <c r="C53">
        <v>52</v>
      </c>
      <c r="D53" t="s">
        <v>121</v>
      </c>
      <c r="E53" s="30" t="s">
        <v>131</v>
      </c>
      <c r="F53" t="s">
        <v>222</v>
      </c>
      <c r="G53" s="3">
        <v>10</v>
      </c>
    </row>
    <row r="54" spans="1:7" x14ac:dyDescent="0.25">
      <c r="A54" t="s">
        <v>202</v>
      </c>
      <c r="B54">
        <v>310233</v>
      </c>
      <c r="C54">
        <v>53</v>
      </c>
      <c r="D54" t="s">
        <v>121</v>
      </c>
      <c r="E54" s="30" t="s">
        <v>132</v>
      </c>
      <c r="F54" t="s">
        <v>222</v>
      </c>
      <c r="G54" s="3">
        <v>15</v>
      </c>
    </row>
    <row r="55" spans="1:7" x14ac:dyDescent="0.25">
      <c r="A55" t="s">
        <v>202</v>
      </c>
      <c r="B55">
        <v>310233</v>
      </c>
      <c r="C55">
        <v>54</v>
      </c>
      <c r="D55" t="s">
        <v>121</v>
      </c>
      <c r="E55" s="30" t="s">
        <v>133</v>
      </c>
      <c r="F55" t="s">
        <v>222</v>
      </c>
      <c r="G55" s="3">
        <v>10</v>
      </c>
    </row>
    <row r="56" spans="1:7" x14ac:dyDescent="0.25">
      <c r="A56" t="s">
        <v>202</v>
      </c>
      <c r="B56">
        <v>310233</v>
      </c>
      <c r="C56">
        <v>55</v>
      </c>
      <c r="D56" t="s">
        <v>121</v>
      </c>
      <c r="E56" s="30" t="s">
        <v>134</v>
      </c>
      <c r="F56" t="s">
        <v>222</v>
      </c>
      <c r="G56" s="3">
        <v>10</v>
      </c>
    </row>
    <row r="57" spans="1:7" x14ac:dyDescent="0.25">
      <c r="A57" t="s">
        <v>202</v>
      </c>
      <c r="B57">
        <v>310233</v>
      </c>
      <c r="C57">
        <v>56</v>
      </c>
      <c r="D57" t="s">
        <v>121</v>
      </c>
      <c r="E57" s="30" t="s">
        <v>135</v>
      </c>
      <c r="F57" t="s">
        <v>222</v>
      </c>
      <c r="G57" s="3">
        <v>10</v>
      </c>
    </row>
    <row r="58" spans="1:7" x14ac:dyDescent="0.25">
      <c r="A58" t="s">
        <v>202</v>
      </c>
      <c r="B58">
        <v>310233</v>
      </c>
      <c r="C58">
        <v>57</v>
      </c>
      <c r="D58" t="s">
        <v>121</v>
      </c>
      <c r="E58" s="30" t="s">
        <v>136</v>
      </c>
      <c r="F58" t="s">
        <v>222</v>
      </c>
      <c r="G58" s="3">
        <v>10</v>
      </c>
    </row>
    <row r="59" spans="1:7" x14ac:dyDescent="0.25">
      <c r="A59" t="s">
        <v>202</v>
      </c>
      <c r="B59">
        <v>310233</v>
      </c>
      <c r="C59">
        <v>58</v>
      </c>
      <c r="D59" t="s">
        <v>121</v>
      </c>
      <c r="E59" s="30" t="s">
        <v>137</v>
      </c>
      <c r="F59" t="s">
        <v>222</v>
      </c>
      <c r="G59" s="3">
        <v>10</v>
      </c>
    </row>
    <row r="60" spans="1:7" x14ac:dyDescent="0.25">
      <c r="A60" t="s">
        <v>202</v>
      </c>
      <c r="B60">
        <v>310233</v>
      </c>
      <c r="C60">
        <v>59</v>
      </c>
      <c r="D60" t="s">
        <v>121</v>
      </c>
      <c r="E60" s="30" t="s">
        <v>138</v>
      </c>
      <c r="F60" t="s">
        <v>222</v>
      </c>
      <c r="G60" s="3">
        <v>10</v>
      </c>
    </row>
    <row r="61" spans="1:7" x14ac:dyDescent="0.25">
      <c r="A61" t="s">
        <v>202</v>
      </c>
      <c r="B61">
        <v>310233</v>
      </c>
      <c r="C61">
        <v>60</v>
      </c>
      <c r="D61" t="s">
        <v>121</v>
      </c>
      <c r="E61" s="30" t="s">
        <v>139</v>
      </c>
      <c r="F61" t="s">
        <v>222</v>
      </c>
      <c r="G61" s="3">
        <v>15</v>
      </c>
    </row>
    <row r="62" spans="1:7" x14ac:dyDescent="0.25">
      <c r="A62" t="s">
        <v>202</v>
      </c>
      <c r="B62">
        <v>310233</v>
      </c>
      <c r="C62">
        <v>61</v>
      </c>
      <c r="D62" t="s">
        <v>121</v>
      </c>
      <c r="E62" s="30" t="s">
        <v>140</v>
      </c>
      <c r="F62" t="s">
        <v>222</v>
      </c>
      <c r="G62" s="3">
        <v>15</v>
      </c>
    </row>
    <row r="63" spans="1:7" x14ac:dyDescent="0.25">
      <c r="A63" t="s">
        <v>202</v>
      </c>
      <c r="B63">
        <v>310233</v>
      </c>
      <c r="C63">
        <v>62</v>
      </c>
      <c r="D63" t="s">
        <v>121</v>
      </c>
      <c r="E63" s="30" t="s">
        <v>141</v>
      </c>
      <c r="F63" t="s">
        <v>222</v>
      </c>
      <c r="G63" s="3">
        <v>12</v>
      </c>
    </row>
    <row r="64" spans="1:7" x14ac:dyDescent="0.25">
      <c r="A64" t="s">
        <v>202</v>
      </c>
      <c r="B64">
        <v>310233</v>
      </c>
      <c r="C64">
        <v>63</v>
      </c>
      <c r="D64" t="s">
        <v>121</v>
      </c>
      <c r="E64" s="30" t="s">
        <v>142</v>
      </c>
      <c r="F64" t="s">
        <v>222</v>
      </c>
      <c r="G64" s="3">
        <v>16</v>
      </c>
    </row>
    <row r="65" spans="1:7" x14ac:dyDescent="0.25">
      <c r="A65" t="s">
        <v>202</v>
      </c>
      <c r="B65">
        <v>310233</v>
      </c>
      <c r="C65">
        <v>64</v>
      </c>
      <c r="D65" t="s">
        <v>121</v>
      </c>
      <c r="E65" s="30" t="s">
        <v>143</v>
      </c>
      <c r="F65" t="s">
        <v>222</v>
      </c>
      <c r="G65" s="3">
        <v>12</v>
      </c>
    </row>
    <row r="66" spans="1:7" x14ac:dyDescent="0.25">
      <c r="A66" t="s">
        <v>202</v>
      </c>
      <c r="B66">
        <v>310233</v>
      </c>
      <c r="C66">
        <v>65</v>
      </c>
      <c r="D66" t="s">
        <v>121</v>
      </c>
      <c r="E66" s="30" t="s">
        <v>144</v>
      </c>
      <c r="F66" t="s">
        <v>222</v>
      </c>
      <c r="G66" s="3">
        <v>16</v>
      </c>
    </row>
    <row r="67" spans="1:7" x14ac:dyDescent="0.25">
      <c r="A67" t="s">
        <v>202</v>
      </c>
      <c r="B67">
        <v>310233</v>
      </c>
      <c r="C67">
        <v>66</v>
      </c>
      <c r="D67" t="s">
        <v>121</v>
      </c>
      <c r="E67" s="30" t="s">
        <v>145</v>
      </c>
      <c r="F67" t="s">
        <v>222</v>
      </c>
      <c r="G67" s="3">
        <v>12</v>
      </c>
    </row>
    <row r="68" spans="1:7" x14ac:dyDescent="0.25">
      <c r="A68" t="s">
        <v>202</v>
      </c>
      <c r="B68">
        <v>310233</v>
      </c>
      <c r="C68">
        <v>67</v>
      </c>
      <c r="D68" t="s">
        <v>121</v>
      </c>
      <c r="E68" s="30" t="s">
        <v>146</v>
      </c>
      <c r="F68" t="s">
        <v>222</v>
      </c>
      <c r="G68" s="3">
        <v>16</v>
      </c>
    </row>
    <row r="69" spans="1:7" x14ac:dyDescent="0.25">
      <c r="A69" t="s">
        <v>202</v>
      </c>
      <c r="B69">
        <v>310233</v>
      </c>
      <c r="C69">
        <v>68</v>
      </c>
      <c r="D69" t="s">
        <v>121</v>
      </c>
      <c r="E69" s="30" t="s">
        <v>147</v>
      </c>
      <c r="F69" t="s">
        <v>222</v>
      </c>
      <c r="G69" s="3">
        <v>12</v>
      </c>
    </row>
    <row r="70" spans="1:7" x14ac:dyDescent="0.25">
      <c r="A70" t="s">
        <v>202</v>
      </c>
      <c r="B70">
        <v>310233</v>
      </c>
      <c r="C70">
        <v>69</v>
      </c>
      <c r="D70" t="s">
        <v>121</v>
      </c>
      <c r="E70" s="30" t="s">
        <v>148</v>
      </c>
      <c r="F70" t="s">
        <v>222</v>
      </c>
      <c r="G70" s="3">
        <v>16</v>
      </c>
    </row>
    <row r="71" spans="1:7" x14ac:dyDescent="0.25">
      <c r="A71" t="s">
        <v>202</v>
      </c>
      <c r="B71">
        <v>310233</v>
      </c>
      <c r="C71">
        <v>70</v>
      </c>
      <c r="D71" t="s">
        <v>121</v>
      </c>
      <c r="E71" s="30" t="s">
        <v>149</v>
      </c>
      <c r="F71" t="s">
        <v>222</v>
      </c>
      <c r="G71" s="3">
        <v>12</v>
      </c>
    </row>
    <row r="72" spans="1:7" x14ac:dyDescent="0.25">
      <c r="A72" t="s">
        <v>202</v>
      </c>
      <c r="B72">
        <v>310233</v>
      </c>
      <c r="C72">
        <v>71</v>
      </c>
      <c r="D72" t="s">
        <v>121</v>
      </c>
      <c r="E72" s="30" t="s">
        <v>150</v>
      </c>
      <c r="F72" t="s">
        <v>222</v>
      </c>
      <c r="G72" s="3">
        <v>12</v>
      </c>
    </row>
    <row r="73" spans="1:7" x14ac:dyDescent="0.25">
      <c r="A73" t="s">
        <v>202</v>
      </c>
      <c r="B73">
        <v>310233</v>
      </c>
      <c r="C73">
        <v>72</v>
      </c>
      <c r="D73" t="s">
        <v>151</v>
      </c>
      <c r="E73" s="30" t="s">
        <v>152</v>
      </c>
      <c r="F73" t="s">
        <v>222</v>
      </c>
      <c r="G73" s="3">
        <v>12</v>
      </c>
    </row>
    <row r="74" spans="1:7" x14ac:dyDescent="0.25">
      <c r="A74" t="s">
        <v>202</v>
      </c>
      <c r="B74">
        <v>310233</v>
      </c>
      <c r="C74">
        <v>73</v>
      </c>
      <c r="D74" t="s">
        <v>151</v>
      </c>
      <c r="E74" s="30" t="s">
        <v>153</v>
      </c>
      <c r="F74" t="s">
        <v>222</v>
      </c>
      <c r="G74" s="3">
        <v>16</v>
      </c>
    </row>
    <row r="75" spans="1:7" x14ac:dyDescent="0.25">
      <c r="A75" t="s">
        <v>202</v>
      </c>
      <c r="B75">
        <v>310233</v>
      </c>
      <c r="C75">
        <v>74</v>
      </c>
      <c r="D75" t="s">
        <v>151</v>
      </c>
      <c r="E75" s="30" t="s">
        <v>154</v>
      </c>
      <c r="F75" t="s">
        <v>222</v>
      </c>
      <c r="G75" s="3">
        <v>16</v>
      </c>
    </row>
    <row r="76" spans="1:7" x14ac:dyDescent="0.25">
      <c r="A76" t="s">
        <v>202</v>
      </c>
      <c r="B76">
        <v>310233</v>
      </c>
      <c r="C76">
        <v>75</v>
      </c>
      <c r="D76" t="s">
        <v>151</v>
      </c>
      <c r="E76" s="30" t="s">
        <v>155</v>
      </c>
      <c r="F76" t="s">
        <v>222</v>
      </c>
      <c r="G76" s="3">
        <v>10</v>
      </c>
    </row>
    <row r="77" spans="1:7" x14ac:dyDescent="0.25">
      <c r="A77" t="s">
        <v>202</v>
      </c>
      <c r="B77">
        <v>310233</v>
      </c>
      <c r="C77">
        <v>76</v>
      </c>
      <c r="D77" t="s">
        <v>151</v>
      </c>
      <c r="E77" s="30" t="s">
        <v>156</v>
      </c>
      <c r="F77" t="s">
        <v>222</v>
      </c>
      <c r="G77" s="3">
        <v>10</v>
      </c>
    </row>
    <row r="78" spans="1:7" x14ac:dyDescent="0.25">
      <c r="A78" t="s">
        <v>202</v>
      </c>
      <c r="B78">
        <v>310233</v>
      </c>
      <c r="C78">
        <v>77</v>
      </c>
      <c r="D78" t="s">
        <v>151</v>
      </c>
      <c r="E78" s="30" t="s">
        <v>157</v>
      </c>
      <c r="F78" t="s">
        <v>222</v>
      </c>
      <c r="G78" s="3">
        <v>10</v>
      </c>
    </row>
    <row r="79" spans="1:7" x14ac:dyDescent="0.25">
      <c r="A79" t="s">
        <v>202</v>
      </c>
      <c r="B79">
        <v>310233</v>
      </c>
      <c r="C79">
        <v>78</v>
      </c>
      <c r="D79" t="s">
        <v>151</v>
      </c>
      <c r="E79" s="30" t="s">
        <v>158</v>
      </c>
      <c r="F79" t="s">
        <v>222</v>
      </c>
      <c r="G79" s="3">
        <v>10</v>
      </c>
    </row>
    <row r="80" spans="1:7" x14ac:dyDescent="0.25">
      <c r="A80" t="s">
        <v>202</v>
      </c>
      <c r="B80">
        <v>310233</v>
      </c>
      <c r="C80">
        <v>79</v>
      </c>
      <c r="D80" t="s">
        <v>151</v>
      </c>
      <c r="E80" s="30" t="s">
        <v>159</v>
      </c>
      <c r="F80" t="s">
        <v>222</v>
      </c>
      <c r="G80" s="3">
        <v>10</v>
      </c>
    </row>
    <row r="81" spans="1:7" x14ac:dyDescent="0.25">
      <c r="A81" t="s">
        <v>202</v>
      </c>
      <c r="B81">
        <v>310233</v>
      </c>
      <c r="C81">
        <v>80</v>
      </c>
      <c r="D81" t="s">
        <v>151</v>
      </c>
      <c r="E81" s="30" t="s">
        <v>160</v>
      </c>
      <c r="F81" t="s">
        <v>222</v>
      </c>
      <c r="G81" s="3">
        <v>8</v>
      </c>
    </row>
    <row r="82" spans="1:7" x14ac:dyDescent="0.25">
      <c r="A82" t="s">
        <v>202</v>
      </c>
      <c r="B82">
        <v>310233</v>
      </c>
      <c r="C82">
        <v>81</v>
      </c>
      <c r="D82" t="s">
        <v>151</v>
      </c>
      <c r="E82" s="30" t="s">
        <v>161</v>
      </c>
      <c r="F82" t="s">
        <v>222</v>
      </c>
      <c r="G82" s="3">
        <v>8</v>
      </c>
    </row>
    <row r="83" spans="1:7" x14ac:dyDescent="0.25">
      <c r="A83" t="s">
        <v>202</v>
      </c>
      <c r="B83">
        <v>310233</v>
      </c>
      <c r="C83">
        <v>82</v>
      </c>
      <c r="D83" t="s">
        <v>151</v>
      </c>
      <c r="E83" s="30" t="s">
        <v>162</v>
      </c>
      <c r="F83" t="s">
        <v>222</v>
      </c>
      <c r="G83" s="3">
        <v>8</v>
      </c>
    </row>
    <row r="84" spans="1:7" x14ac:dyDescent="0.25">
      <c r="A84" t="s">
        <v>202</v>
      </c>
      <c r="B84">
        <v>310233</v>
      </c>
      <c r="C84">
        <v>83</v>
      </c>
      <c r="D84" t="s">
        <v>151</v>
      </c>
      <c r="E84" s="30" t="s">
        <v>163</v>
      </c>
      <c r="F84" t="s">
        <v>222</v>
      </c>
      <c r="G84" s="3">
        <v>10</v>
      </c>
    </row>
    <row r="85" spans="1:7" x14ac:dyDescent="0.25">
      <c r="A85" t="s">
        <v>202</v>
      </c>
      <c r="B85">
        <v>310233</v>
      </c>
      <c r="C85">
        <v>84</v>
      </c>
      <c r="D85" t="s">
        <v>151</v>
      </c>
      <c r="E85" s="30" t="s">
        <v>164</v>
      </c>
      <c r="F85" t="s">
        <v>222</v>
      </c>
      <c r="G85" s="3">
        <v>8</v>
      </c>
    </row>
    <row r="86" spans="1:7" x14ac:dyDescent="0.25">
      <c r="A86" t="s">
        <v>202</v>
      </c>
      <c r="B86">
        <v>310233</v>
      </c>
      <c r="C86">
        <v>85</v>
      </c>
      <c r="D86" t="s">
        <v>151</v>
      </c>
      <c r="E86" s="30" t="s">
        <v>165</v>
      </c>
      <c r="F86" t="s">
        <v>222</v>
      </c>
      <c r="G86" s="3">
        <v>8</v>
      </c>
    </row>
    <row r="87" spans="1:7" x14ac:dyDescent="0.25">
      <c r="A87" t="s">
        <v>202</v>
      </c>
      <c r="B87">
        <v>310233</v>
      </c>
      <c r="C87">
        <v>86</v>
      </c>
      <c r="D87" t="s">
        <v>151</v>
      </c>
      <c r="E87" s="30" t="s">
        <v>166</v>
      </c>
      <c r="F87" t="s">
        <v>222</v>
      </c>
      <c r="G87" s="3">
        <v>6</v>
      </c>
    </row>
    <row r="88" spans="1:7" x14ac:dyDescent="0.25">
      <c r="A88" t="s">
        <v>202</v>
      </c>
      <c r="B88">
        <v>310233</v>
      </c>
      <c r="C88">
        <v>87</v>
      </c>
      <c r="D88" t="s">
        <v>151</v>
      </c>
      <c r="E88" s="30" t="s">
        <v>167</v>
      </c>
      <c r="F88" t="s">
        <v>222</v>
      </c>
      <c r="G88" s="3">
        <v>6</v>
      </c>
    </row>
    <row r="89" spans="1:7" x14ac:dyDescent="0.25">
      <c r="A89" t="s">
        <v>202</v>
      </c>
      <c r="B89">
        <v>310233</v>
      </c>
      <c r="C89">
        <v>88</v>
      </c>
      <c r="D89" t="s">
        <v>151</v>
      </c>
      <c r="E89" s="30" t="s">
        <v>168</v>
      </c>
      <c r="F89" t="s">
        <v>222</v>
      </c>
      <c r="G89" s="3">
        <v>6</v>
      </c>
    </row>
    <row r="90" spans="1:7" x14ac:dyDescent="0.25">
      <c r="A90" t="s">
        <v>202</v>
      </c>
      <c r="B90">
        <v>310233</v>
      </c>
      <c r="C90">
        <v>89</v>
      </c>
      <c r="D90" t="s">
        <v>151</v>
      </c>
      <c r="E90" s="30" t="s">
        <v>169</v>
      </c>
      <c r="F90" t="s">
        <v>222</v>
      </c>
      <c r="G90" s="3">
        <v>10</v>
      </c>
    </row>
    <row r="91" spans="1:7" x14ac:dyDescent="0.25">
      <c r="A91" t="s">
        <v>202</v>
      </c>
      <c r="B91">
        <v>310233</v>
      </c>
      <c r="C91">
        <v>90</v>
      </c>
      <c r="D91" t="s">
        <v>151</v>
      </c>
      <c r="E91" s="30" t="s">
        <v>170</v>
      </c>
      <c r="F91" t="s">
        <v>222</v>
      </c>
      <c r="G91" s="3">
        <v>10</v>
      </c>
    </row>
    <row r="92" spans="1:7" x14ac:dyDescent="0.25">
      <c r="A92" t="s">
        <v>202</v>
      </c>
      <c r="B92">
        <v>310233</v>
      </c>
      <c r="C92">
        <v>91</v>
      </c>
      <c r="D92" t="s">
        <v>151</v>
      </c>
      <c r="E92" s="30" t="s">
        <v>171</v>
      </c>
      <c r="F92" t="s">
        <v>222</v>
      </c>
      <c r="G92" s="3">
        <v>8</v>
      </c>
    </row>
    <row r="93" spans="1:7" x14ac:dyDescent="0.25">
      <c r="A93" t="s">
        <v>202</v>
      </c>
      <c r="B93">
        <v>310233</v>
      </c>
      <c r="C93">
        <v>92</v>
      </c>
      <c r="D93" t="s">
        <v>151</v>
      </c>
      <c r="E93" s="30" t="s">
        <v>172</v>
      </c>
      <c r="F93" t="s">
        <v>222</v>
      </c>
      <c r="G93" s="3">
        <v>10</v>
      </c>
    </row>
    <row r="94" spans="1:7" x14ac:dyDescent="0.25">
      <c r="A94" t="s">
        <v>202</v>
      </c>
      <c r="B94">
        <v>310233</v>
      </c>
      <c r="C94">
        <v>93</v>
      </c>
      <c r="D94" t="s">
        <v>151</v>
      </c>
      <c r="E94" s="30" t="s">
        <v>173</v>
      </c>
      <c r="F94" t="s">
        <v>222</v>
      </c>
      <c r="G94" s="3">
        <v>10</v>
      </c>
    </row>
    <row r="95" spans="1:7" x14ac:dyDescent="0.25">
      <c r="A95" t="s">
        <v>202</v>
      </c>
      <c r="B95">
        <v>310233</v>
      </c>
      <c r="C95">
        <v>94</v>
      </c>
      <c r="D95" t="s">
        <v>186</v>
      </c>
      <c r="E95" s="30" t="s">
        <v>174</v>
      </c>
      <c r="F95" t="s">
        <v>222</v>
      </c>
      <c r="G95" s="3">
        <v>6</v>
      </c>
    </row>
    <row r="96" spans="1:7" x14ac:dyDescent="0.25">
      <c r="A96" t="s">
        <v>202</v>
      </c>
      <c r="B96">
        <v>310233</v>
      </c>
      <c r="C96">
        <v>95</v>
      </c>
      <c r="D96" t="s">
        <v>186</v>
      </c>
      <c r="E96" s="30" t="s">
        <v>175</v>
      </c>
      <c r="F96" t="s">
        <v>222</v>
      </c>
      <c r="G96" s="3">
        <v>6</v>
      </c>
    </row>
    <row r="97" spans="1:7" x14ac:dyDescent="0.25">
      <c r="A97" t="s">
        <v>202</v>
      </c>
      <c r="B97">
        <v>310233</v>
      </c>
      <c r="C97">
        <v>96</v>
      </c>
      <c r="D97" t="s">
        <v>186</v>
      </c>
      <c r="E97" s="30" t="s">
        <v>176</v>
      </c>
      <c r="F97" t="s">
        <v>222</v>
      </c>
      <c r="G97" s="3">
        <v>6</v>
      </c>
    </row>
    <row r="98" spans="1:7" x14ac:dyDescent="0.25">
      <c r="A98" t="s">
        <v>202</v>
      </c>
      <c r="B98">
        <v>310233</v>
      </c>
      <c r="C98">
        <v>97</v>
      </c>
      <c r="D98" t="s">
        <v>186</v>
      </c>
      <c r="E98" s="30" t="s">
        <v>177</v>
      </c>
      <c r="F98" t="s">
        <v>222</v>
      </c>
      <c r="G98" s="3">
        <v>6</v>
      </c>
    </row>
    <row r="99" spans="1:7" x14ac:dyDescent="0.25">
      <c r="A99" t="s">
        <v>202</v>
      </c>
      <c r="B99">
        <v>310233</v>
      </c>
      <c r="C99">
        <v>98</v>
      </c>
      <c r="D99" t="s">
        <v>186</v>
      </c>
      <c r="E99" s="30" t="s">
        <v>178</v>
      </c>
      <c r="F99" t="s">
        <v>222</v>
      </c>
      <c r="G99" s="3">
        <v>6</v>
      </c>
    </row>
    <row r="100" spans="1:7" x14ac:dyDescent="0.25">
      <c r="A100" t="s">
        <v>202</v>
      </c>
      <c r="B100">
        <v>310233</v>
      </c>
      <c r="C100">
        <v>99</v>
      </c>
      <c r="D100" t="s">
        <v>186</v>
      </c>
      <c r="E100" s="30" t="s">
        <v>179</v>
      </c>
      <c r="F100" t="s">
        <v>222</v>
      </c>
      <c r="G100" s="3">
        <v>8</v>
      </c>
    </row>
    <row r="101" spans="1:7" x14ac:dyDescent="0.25">
      <c r="A101" t="s">
        <v>202</v>
      </c>
      <c r="B101">
        <v>310233</v>
      </c>
      <c r="C101">
        <v>100</v>
      </c>
      <c r="D101" t="s">
        <v>186</v>
      </c>
      <c r="E101" s="30" t="s">
        <v>180</v>
      </c>
      <c r="F101" t="s">
        <v>222</v>
      </c>
      <c r="G101" s="3">
        <v>8</v>
      </c>
    </row>
    <row r="102" spans="1:7" x14ac:dyDescent="0.25">
      <c r="A102" t="s">
        <v>202</v>
      </c>
      <c r="B102">
        <v>310233</v>
      </c>
      <c r="C102">
        <v>101</v>
      </c>
      <c r="D102" t="s">
        <v>186</v>
      </c>
      <c r="E102" s="30" t="s">
        <v>181</v>
      </c>
      <c r="F102" t="s">
        <v>222</v>
      </c>
      <c r="G102" s="3">
        <v>10</v>
      </c>
    </row>
    <row r="103" spans="1:7" x14ac:dyDescent="0.25">
      <c r="A103" t="s">
        <v>202</v>
      </c>
      <c r="B103">
        <v>310233</v>
      </c>
      <c r="C103">
        <v>102</v>
      </c>
      <c r="D103" t="s">
        <v>187</v>
      </c>
      <c r="E103" s="30" t="s">
        <v>182</v>
      </c>
      <c r="F103" t="s">
        <v>222</v>
      </c>
      <c r="G103" s="3">
        <v>10</v>
      </c>
    </row>
    <row r="104" spans="1:7" x14ac:dyDescent="0.25">
      <c r="A104" t="s">
        <v>202</v>
      </c>
      <c r="B104">
        <v>310233</v>
      </c>
      <c r="C104">
        <v>103</v>
      </c>
      <c r="D104" t="s">
        <v>187</v>
      </c>
      <c r="E104" s="30" t="s">
        <v>183</v>
      </c>
      <c r="F104" t="s">
        <v>222</v>
      </c>
      <c r="G104" s="3">
        <v>10</v>
      </c>
    </row>
    <row r="105" spans="1:7" x14ac:dyDescent="0.25">
      <c r="A105" t="s">
        <v>202</v>
      </c>
      <c r="B105">
        <v>310233</v>
      </c>
      <c r="C105">
        <v>104</v>
      </c>
      <c r="D105" t="s">
        <v>187</v>
      </c>
      <c r="E105" s="30" t="s">
        <v>184</v>
      </c>
      <c r="F105" t="s">
        <v>222</v>
      </c>
      <c r="G105" s="3">
        <v>10</v>
      </c>
    </row>
    <row r="106" spans="1:7" x14ac:dyDescent="0.25">
      <c r="A106" t="s">
        <v>202</v>
      </c>
      <c r="B106">
        <v>310233</v>
      </c>
      <c r="C106">
        <v>105</v>
      </c>
      <c r="D106" t="s">
        <v>187</v>
      </c>
      <c r="E106" s="30" t="s">
        <v>185</v>
      </c>
      <c r="F106" t="s">
        <v>222</v>
      </c>
      <c r="G106" s="3">
        <v>10</v>
      </c>
    </row>
    <row r="107" spans="1:7" x14ac:dyDescent="0.25">
      <c r="A107" t="s">
        <v>202</v>
      </c>
      <c r="B107">
        <v>310233</v>
      </c>
      <c r="C107">
        <v>106</v>
      </c>
      <c r="D107" t="s">
        <v>187</v>
      </c>
      <c r="E107" s="30" t="s">
        <v>188</v>
      </c>
      <c r="F107" t="s">
        <v>222</v>
      </c>
      <c r="G107" s="3">
        <v>12</v>
      </c>
    </row>
    <row r="108" spans="1:7" x14ac:dyDescent="0.25">
      <c r="A108" t="s">
        <v>202</v>
      </c>
      <c r="B108">
        <v>310233</v>
      </c>
      <c r="C108">
        <v>107</v>
      </c>
      <c r="D108" t="s">
        <v>187</v>
      </c>
      <c r="E108" s="30" t="s">
        <v>189</v>
      </c>
      <c r="F108" t="s">
        <v>222</v>
      </c>
      <c r="G108" s="3">
        <v>12</v>
      </c>
    </row>
    <row r="109" spans="1:7" x14ac:dyDescent="0.25">
      <c r="A109" t="s">
        <v>202</v>
      </c>
      <c r="B109">
        <v>310233</v>
      </c>
      <c r="C109">
        <v>108</v>
      </c>
      <c r="D109" t="s">
        <v>187</v>
      </c>
      <c r="E109" s="30" t="s">
        <v>190</v>
      </c>
      <c r="F109" t="s">
        <v>222</v>
      </c>
      <c r="G109" s="3">
        <v>12</v>
      </c>
    </row>
    <row r="110" spans="1:7" x14ac:dyDescent="0.25">
      <c r="A110" t="s">
        <v>202</v>
      </c>
      <c r="B110">
        <v>310233</v>
      </c>
      <c r="C110">
        <v>109</v>
      </c>
      <c r="D110" t="s">
        <v>187</v>
      </c>
      <c r="E110" s="30" t="s">
        <v>191</v>
      </c>
      <c r="F110" t="s">
        <v>222</v>
      </c>
      <c r="G110" s="3">
        <v>10</v>
      </c>
    </row>
    <row r="111" spans="1:7" x14ac:dyDescent="0.25">
      <c r="A111" t="s">
        <v>202</v>
      </c>
      <c r="B111">
        <v>310233</v>
      </c>
      <c r="C111">
        <v>110</v>
      </c>
      <c r="D111" t="s">
        <v>187</v>
      </c>
      <c r="E111" s="30" t="s">
        <v>192</v>
      </c>
      <c r="F111" t="s">
        <v>222</v>
      </c>
      <c r="G111" s="3">
        <v>10</v>
      </c>
    </row>
    <row r="112" spans="1:7" x14ac:dyDescent="0.25">
      <c r="A112" t="s">
        <v>202</v>
      </c>
      <c r="B112">
        <v>310233</v>
      </c>
      <c r="C112">
        <v>111</v>
      </c>
      <c r="D112" t="s">
        <v>22</v>
      </c>
      <c r="E112" s="30" t="s">
        <v>23</v>
      </c>
      <c r="F112" t="s">
        <v>222</v>
      </c>
      <c r="G112" s="3">
        <v>12</v>
      </c>
    </row>
    <row r="113" spans="1:7" x14ac:dyDescent="0.25">
      <c r="A113" t="s">
        <v>202</v>
      </c>
      <c r="B113">
        <v>310233</v>
      </c>
      <c r="C113">
        <v>112</v>
      </c>
      <c r="D113" t="s">
        <v>22</v>
      </c>
      <c r="E113" s="30" t="s">
        <v>24</v>
      </c>
      <c r="F113" t="s">
        <v>222</v>
      </c>
      <c r="G113" s="3">
        <v>10</v>
      </c>
    </row>
    <row r="114" spans="1:7" x14ac:dyDescent="0.25">
      <c r="A114" t="s">
        <v>202</v>
      </c>
      <c r="B114">
        <v>310233</v>
      </c>
      <c r="C114">
        <v>113</v>
      </c>
      <c r="D114" t="s">
        <v>22</v>
      </c>
      <c r="E114" s="30" t="s">
        <v>25</v>
      </c>
      <c r="F114" t="s">
        <v>222</v>
      </c>
      <c r="G114" s="3">
        <v>18</v>
      </c>
    </row>
    <row r="115" spans="1:7" x14ac:dyDescent="0.25">
      <c r="A115" t="s">
        <v>202</v>
      </c>
      <c r="B115">
        <v>310233</v>
      </c>
      <c r="C115">
        <v>114</v>
      </c>
      <c r="D115" t="s">
        <v>195</v>
      </c>
      <c r="E115" s="30" t="s">
        <v>26</v>
      </c>
      <c r="F115" t="s">
        <v>222</v>
      </c>
      <c r="G115" s="3">
        <v>6</v>
      </c>
    </row>
    <row r="116" spans="1:7" x14ac:dyDescent="0.25">
      <c r="A116" t="s">
        <v>202</v>
      </c>
      <c r="B116">
        <v>310233</v>
      </c>
      <c r="C116">
        <v>115</v>
      </c>
      <c r="D116" t="s">
        <v>195</v>
      </c>
      <c r="E116" s="30" t="s">
        <v>27</v>
      </c>
      <c r="F116" t="s">
        <v>222</v>
      </c>
      <c r="G116" s="3">
        <v>6</v>
      </c>
    </row>
    <row r="117" spans="1:7" x14ac:dyDescent="0.25">
      <c r="A117" t="s">
        <v>202</v>
      </c>
      <c r="B117">
        <v>310233</v>
      </c>
      <c r="C117">
        <v>116</v>
      </c>
      <c r="D117" t="s">
        <v>195</v>
      </c>
      <c r="E117" s="30" t="s">
        <v>28</v>
      </c>
      <c r="F117" t="s">
        <v>222</v>
      </c>
      <c r="G117" s="3">
        <v>6</v>
      </c>
    </row>
    <row r="118" spans="1:7" x14ac:dyDescent="0.25">
      <c r="A118" t="s">
        <v>202</v>
      </c>
      <c r="B118">
        <v>310233</v>
      </c>
      <c r="C118">
        <v>117</v>
      </c>
      <c r="D118" t="s">
        <v>195</v>
      </c>
      <c r="E118" s="30" t="s">
        <v>29</v>
      </c>
      <c r="F118" t="s">
        <v>222</v>
      </c>
      <c r="G118" s="3">
        <v>6</v>
      </c>
    </row>
    <row r="119" spans="1:7" x14ac:dyDescent="0.25">
      <c r="A119" t="s">
        <v>202</v>
      </c>
      <c r="B119">
        <v>310233</v>
      </c>
      <c r="C119">
        <v>118</v>
      </c>
      <c r="D119" t="s">
        <v>195</v>
      </c>
      <c r="E119" s="30" t="s">
        <v>30</v>
      </c>
      <c r="F119" t="s">
        <v>222</v>
      </c>
      <c r="G119" s="3">
        <v>6</v>
      </c>
    </row>
    <row r="120" spans="1:7" x14ac:dyDescent="0.25">
      <c r="A120" t="s">
        <v>202</v>
      </c>
      <c r="B120">
        <v>310233</v>
      </c>
      <c r="C120">
        <v>119</v>
      </c>
      <c r="D120" t="s">
        <v>195</v>
      </c>
      <c r="E120" s="30" t="s">
        <v>31</v>
      </c>
      <c r="F120" t="s">
        <v>222</v>
      </c>
      <c r="G120" s="3">
        <v>6</v>
      </c>
    </row>
    <row r="121" spans="1:7" x14ac:dyDescent="0.25">
      <c r="A121" t="s">
        <v>202</v>
      </c>
      <c r="B121">
        <v>310233</v>
      </c>
      <c r="C121">
        <v>120</v>
      </c>
      <c r="D121" t="s">
        <v>195</v>
      </c>
      <c r="E121" s="30" t="s">
        <v>32</v>
      </c>
      <c r="F121" t="s">
        <v>222</v>
      </c>
      <c r="G121" s="3">
        <v>6</v>
      </c>
    </row>
    <row r="122" spans="1:7" x14ac:dyDescent="0.25">
      <c r="A122" t="s">
        <v>202</v>
      </c>
      <c r="B122">
        <v>310233</v>
      </c>
      <c r="C122">
        <v>121</v>
      </c>
      <c r="D122" t="s">
        <v>195</v>
      </c>
      <c r="E122" s="30" t="s">
        <v>33</v>
      </c>
      <c r="F122" t="s">
        <v>222</v>
      </c>
      <c r="G122" s="3">
        <v>6</v>
      </c>
    </row>
    <row r="123" spans="1:7" x14ac:dyDescent="0.25">
      <c r="A123" t="s">
        <v>202</v>
      </c>
      <c r="B123">
        <v>310233</v>
      </c>
      <c r="C123">
        <v>122</v>
      </c>
      <c r="D123" t="s">
        <v>195</v>
      </c>
      <c r="E123" s="30" t="s">
        <v>34</v>
      </c>
      <c r="F123" t="s">
        <v>222</v>
      </c>
      <c r="G123" s="3">
        <v>6</v>
      </c>
    </row>
    <row r="124" spans="1:7" x14ac:dyDescent="0.25">
      <c r="A124" t="s">
        <v>202</v>
      </c>
      <c r="B124">
        <v>310233</v>
      </c>
      <c r="C124">
        <v>123</v>
      </c>
      <c r="D124" t="s">
        <v>195</v>
      </c>
      <c r="E124" s="30" t="s">
        <v>35</v>
      </c>
      <c r="F124" t="s">
        <v>222</v>
      </c>
      <c r="G124" s="3">
        <v>6</v>
      </c>
    </row>
    <row r="125" spans="1:7" x14ac:dyDescent="0.25">
      <c r="A125" t="s">
        <v>202</v>
      </c>
      <c r="B125">
        <v>310233</v>
      </c>
      <c r="C125">
        <v>124</v>
      </c>
      <c r="D125" t="s">
        <v>195</v>
      </c>
      <c r="E125" s="30" t="s">
        <v>36</v>
      </c>
      <c r="F125" t="s">
        <v>222</v>
      </c>
      <c r="G125" s="3">
        <v>6</v>
      </c>
    </row>
    <row r="126" spans="1:7" x14ac:dyDescent="0.25">
      <c r="A126" t="s">
        <v>202</v>
      </c>
      <c r="B126">
        <v>310233</v>
      </c>
      <c r="C126">
        <v>125</v>
      </c>
      <c r="D126" t="s">
        <v>195</v>
      </c>
      <c r="E126" s="30" t="s">
        <v>37</v>
      </c>
      <c r="F126" t="s">
        <v>222</v>
      </c>
      <c r="G126" s="3">
        <v>6</v>
      </c>
    </row>
    <row r="127" spans="1:7" x14ac:dyDescent="0.25">
      <c r="A127" t="s">
        <v>202</v>
      </c>
      <c r="B127">
        <v>310233</v>
      </c>
      <c r="C127">
        <v>126</v>
      </c>
      <c r="D127" t="s">
        <v>195</v>
      </c>
      <c r="E127" s="30" t="s">
        <v>38</v>
      </c>
      <c r="F127" t="s">
        <v>222</v>
      </c>
      <c r="G127" s="3">
        <v>6</v>
      </c>
    </row>
    <row r="128" spans="1:7" x14ac:dyDescent="0.25">
      <c r="A128" t="s">
        <v>202</v>
      </c>
      <c r="B128">
        <v>310233</v>
      </c>
      <c r="C128">
        <v>127</v>
      </c>
      <c r="D128" t="s">
        <v>195</v>
      </c>
      <c r="E128" s="30" t="s">
        <v>193</v>
      </c>
      <c r="F128" t="s">
        <v>222</v>
      </c>
      <c r="G128" s="3">
        <v>6</v>
      </c>
    </row>
    <row r="129" spans="1:7" x14ac:dyDescent="0.25">
      <c r="A129" t="s">
        <v>202</v>
      </c>
      <c r="B129">
        <v>310233</v>
      </c>
      <c r="C129">
        <v>128</v>
      </c>
      <c r="D129" t="s">
        <v>195</v>
      </c>
      <c r="E129" s="30" t="s">
        <v>39</v>
      </c>
      <c r="F129" t="s">
        <v>222</v>
      </c>
      <c r="G129" s="3">
        <v>6</v>
      </c>
    </row>
    <row r="130" spans="1:7" x14ac:dyDescent="0.25">
      <c r="A130" t="s">
        <v>202</v>
      </c>
      <c r="B130">
        <v>310233</v>
      </c>
      <c r="C130">
        <v>129</v>
      </c>
      <c r="D130" t="s">
        <v>195</v>
      </c>
      <c r="E130" s="30" t="s">
        <v>40</v>
      </c>
      <c r="F130" t="s">
        <v>222</v>
      </c>
      <c r="G130" s="3">
        <v>6</v>
      </c>
    </row>
    <row r="131" spans="1:7" x14ac:dyDescent="0.25">
      <c r="A131" t="s">
        <v>202</v>
      </c>
      <c r="B131">
        <v>310233</v>
      </c>
      <c r="C131">
        <v>130</v>
      </c>
      <c r="D131" t="s">
        <v>195</v>
      </c>
      <c r="E131" s="30" t="s">
        <v>41</v>
      </c>
      <c r="F131" t="s">
        <v>222</v>
      </c>
      <c r="G131" s="3">
        <v>6</v>
      </c>
    </row>
    <row r="132" spans="1:7" x14ac:dyDescent="0.25">
      <c r="A132" t="s">
        <v>202</v>
      </c>
      <c r="B132">
        <v>310233</v>
      </c>
      <c r="C132">
        <v>131</v>
      </c>
      <c r="D132" t="s">
        <v>195</v>
      </c>
      <c r="E132" s="30" t="s">
        <v>42</v>
      </c>
      <c r="F132" t="s">
        <v>222</v>
      </c>
      <c r="G132" s="3">
        <v>6</v>
      </c>
    </row>
    <row r="133" spans="1:7" x14ac:dyDescent="0.25">
      <c r="A133" t="s">
        <v>202</v>
      </c>
      <c r="B133">
        <v>310233</v>
      </c>
      <c r="C133">
        <v>132</v>
      </c>
      <c r="D133" t="s">
        <v>195</v>
      </c>
      <c r="E133" s="30" t="s">
        <v>43</v>
      </c>
      <c r="F133" t="s">
        <v>222</v>
      </c>
      <c r="G133" s="3">
        <v>7</v>
      </c>
    </row>
    <row r="134" spans="1:7" x14ac:dyDescent="0.25">
      <c r="A134" t="s">
        <v>202</v>
      </c>
      <c r="B134">
        <v>310233</v>
      </c>
      <c r="C134">
        <v>133</v>
      </c>
      <c r="D134" t="s">
        <v>195</v>
      </c>
      <c r="E134" s="30" t="s">
        <v>44</v>
      </c>
      <c r="F134" t="s">
        <v>222</v>
      </c>
      <c r="G134" s="3">
        <v>6.5</v>
      </c>
    </row>
    <row r="135" spans="1:7" x14ac:dyDescent="0.25">
      <c r="A135" t="s">
        <v>202</v>
      </c>
      <c r="B135">
        <v>310233</v>
      </c>
      <c r="C135">
        <v>134</v>
      </c>
      <c r="D135" t="s">
        <v>195</v>
      </c>
      <c r="E135" s="30" t="s">
        <v>45</v>
      </c>
      <c r="F135" t="s">
        <v>222</v>
      </c>
      <c r="G135" s="3">
        <v>6.5</v>
      </c>
    </row>
    <row r="136" spans="1:7" x14ac:dyDescent="0.25">
      <c r="A136" t="s">
        <v>202</v>
      </c>
      <c r="B136">
        <v>310233</v>
      </c>
      <c r="C136">
        <v>135</v>
      </c>
      <c r="D136" t="s">
        <v>195</v>
      </c>
      <c r="E136" s="30" t="s">
        <v>46</v>
      </c>
      <c r="F136" t="s">
        <v>222</v>
      </c>
      <c r="G136" s="3">
        <v>6.5</v>
      </c>
    </row>
    <row r="137" spans="1:7" x14ac:dyDescent="0.25">
      <c r="A137" t="s">
        <v>202</v>
      </c>
      <c r="B137">
        <v>310233</v>
      </c>
      <c r="C137">
        <v>136</v>
      </c>
      <c r="D137" t="s">
        <v>195</v>
      </c>
      <c r="E137" s="30" t="s">
        <v>47</v>
      </c>
      <c r="F137" t="s">
        <v>222</v>
      </c>
      <c r="G137" s="3">
        <v>6.5</v>
      </c>
    </row>
    <row r="138" spans="1:7" x14ac:dyDescent="0.25">
      <c r="A138" t="s">
        <v>202</v>
      </c>
      <c r="B138">
        <v>310233</v>
      </c>
      <c r="C138">
        <v>137</v>
      </c>
      <c r="D138" t="s">
        <v>195</v>
      </c>
      <c r="E138" s="30" t="s">
        <v>48</v>
      </c>
      <c r="F138" t="s">
        <v>222</v>
      </c>
      <c r="G138" s="3">
        <v>6</v>
      </c>
    </row>
    <row r="139" spans="1:7" x14ac:dyDescent="0.25">
      <c r="A139" t="s">
        <v>202</v>
      </c>
      <c r="B139">
        <v>310233</v>
      </c>
      <c r="C139">
        <v>138</v>
      </c>
      <c r="D139" t="s">
        <v>195</v>
      </c>
      <c r="E139" s="30" t="s">
        <v>49</v>
      </c>
      <c r="F139" t="s">
        <v>222</v>
      </c>
      <c r="G139" s="3">
        <v>6</v>
      </c>
    </row>
    <row r="140" spans="1:7" x14ac:dyDescent="0.25">
      <c r="A140" t="s">
        <v>202</v>
      </c>
      <c r="B140">
        <v>310233</v>
      </c>
      <c r="C140">
        <v>139</v>
      </c>
      <c r="D140" t="s">
        <v>195</v>
      </c>
      <c r="E140" s="30" t="s">
        <v>50</v>
      </c>
      <c r="F140" t="s">
        <v>222</v>
      </c>
      <c r="G140" s="3">
        <v>6</v>
      </c>
    </row>
    <row r="141" spans="1:7" x14ac:dyDescent="0.25">
      <c r="A141" t="s">
        <v>202</v>
      </c>
      <c r="B141">
        <v>310233</v>
      </c>
      <c r="C141">
        <v>140</v>
      </c>
      <c r="D141" t="s">
        <v>195</v>
      </c>
      <c r="E141" s="30" t="s">
        <v>51</v>
      </c>
      <c r="F141" t="s">
        <v>222</v>
      </c>
      <c r="G141" s="3">
        <v>7</v>
      </c>
    </row>
    <row r="142" spans="1:7" x14ac:dyDescent="0.25">
      <c r="A142" t="s">
        <v>202</v>
      </c>
      <c r="B142">
        <v>310233</v>
      </c>
      <c r="C142">
        <v>141</v>
      </c>
      <c r="D142" t="s">
        <v>195</v>
      </c>
      <c r="E142" s="30" t="s">
        <v>52</v>
      </c>
      <c r="F142" t="s">
        <v>222</v>
      </c>
      <c r="G142" s="3">
        <v>7</v>
      </c>
    </row>
    <row r="143" spans="1:7" x14ac:dyDescent="0.25">
      <c r="A143" t="s">
        <v>202</v>
      </c>
      <c r="B143">
        <v>310233</v>
      </c>
      <c r="C143">
        <v>142</v>
      </c>
      <c r="D143" t="s">
        <v>195</v>
      </c>
      <c r="E143" s="30" t="s">
        <v>53</v>
      </c>
      <c r="F143" t="s">
        <v>222</v>
      </c>
      <c r="G143" s="3">
        <v>6.5</v>
      </c>
    </row>
    <row r="144" spans="1:7" x14ac:dyDescent="0.25">
      <c r="A144" t="s">
        <v>202</v>
      </c>
      <c r="B144">
        <v>310233</v>
      </c>
      <c r="C144">
        <v>143</v>
      </c>
      <c r="D144" t="s">
        <v>195</v>
      </c>
      <c r="E144" s="30" t="s">
        <v>54</v>
      </c>
      <c r="F144" t="s">
        <v>222</v>
      </c>
      <c r="G144" s="3">
        <v>6</v>
      </c>
    </row>
    <row r="145" spans="1:7" x14ac:dyDescent="0.25">
      <c r="A145" t="s">
        <v>202</v>
      </c>
      <c r="B145">
        <v>310233</v>
      </c>
      <c r="C145">
        <v>144</v>
      </c>
      <c r="D145" t="s">
        <v>195</v>
      </c>
      <c r="E145" s="30" t="s">
        <v>55</v>
      </c>
      <c r="F145" t="s">
        <v>222</v>
      </c>
      <c r="G145" s="3">
        <v>6</v>
      </c>
    </row>
    <row r="146" spans="1:7" x14ac:dyDescent="0.25">
      <c r="A146" t="s">
        <v>202</v>
      </c>
      <c r="B146">
        <v>310233</v>
      </c>
      <c r="C146">
        <v>145</v>
      </c>
      <c r="D146" t="s">
        <v>196</v>
      </c>
      <c r="E146" s="30" t="s">
        <v>56</v>
      </c>
      <c r="F146" t="s">
        <v>222</v>
      </c>
      <c r="G146" s="3">
        <v>5</v>
      </c>
    </row>
    <row r="147" spans="1:7" x14ac:dyDescent="0.25">
      <c r="A147" t="s">
        <v>202</v>
      </c>
      <c r="B147">
        <v>310233</v>
      </c>
      <c r="C147">
        <v>146</v>
      </c>
      <c r="D147" t="s">
        <v>196</v>
      </c>
      <c r="E147" s="30" t="s">
        <v>57</v>
      </c>
      <c r="F147" t="s">
        <v>222</v>
      </c>
      <c r="G147" s="3">
        <v>6</v>
      </c>
    </row>
    <row r="148" spans="1:7" x14ac:dyDescent="0.25">
      <c r="A148" t="s">
        <v>202</v>
      </c>
      <c r="B148">
        <v>310233</v>
      </c>
      <c r="C148">
        <v>147</v>
      </c>
      <c r="D148" t="s">
        <v>196</v>
      </c>
      <c r="E148" s="30" t="s">
        <v>58</v>
      </c>
      <c r="F148" t="s">
        <v>222</v>
      </c>
      <c r="G148" s="3">
        <v>6</v>
      </c>
    </row>
    <row r="149" spans="1:7" x14ac:dyDescent="0.25">
      <c r="A149" t="s">
        <v>202</v>
      </c>
      <c r="B149">
        <v>310233</v>
      </c>
      <c r="C149">
        <v>148</v>
      </c>
      <c r="D149" t="s">
        <v>196</v>
      </c>
      <c r="E149" s="30" t="s">
        <v>59</v>
      </c>
      <c r="F149" t="s">
        <v>222</v>
      </c>
      <c r="G149" s="3">
        <v>6</v>
      </c>
    </row>
    <row r="150" spans="1:7" x14ac:dyDescent="0.25">
      <c r="A150" t="s">
        <v>202</v>
      </c>
      <c r="B150">
        <v>310233</v>
      </c>
      <c r="C150">
        <v>149</v>
      </c>
      <c r="D150" t="s">
        <v>196</v>
      </c>
      <c r="E150" s="30" t="s">
        <v>60</v>
      </c>
      <c r="F150" t="s">
        <v>222</v>
      </c>
      <c r="G150" s="3">
        <v>6</v>
      </c>
    </row>
    <row r="151" spans="1:7" x14ac:dyDescent="0.25">
      <c r="A151" t="s">
        <v>202</v>
      </c>
      <c r="B151">
        <v>310233</v>
      </c>
      <c r="C151">
        <v>150</v>
      </c>
      <c r="D151" t="s">
        <v>196</v>
      </c>
      <c r="E151" s="30" t="s">
        <v>61</v>
      </c>
      <c r="F151" t="s">
        <v>222</v>
      </c>
      <c r="G151" s="3">
        <v>6</v>
      </c>
    </row>
    <row r="152" spans="1:7" x14ac:dyDescent="0.25">
      <c r="A152" t="s">
        <v>202</v>
      </c>
      <c r="B152">
        <v>310233</v>
      </c>
      <c r="C152">
        <v>151</v>
      </c>
      <c r="D152" t="s">
        <v>196</v>
      </c>
      <c r="E152" s="30" t="s">
        <v>62</v>
      </c>
      <c r="F152" t="s">
        <v>222</v>
      </c>
      <c r="G152" s="3">
        <v>6</v>
      </c>
    </row>
    <row r="153" spans="1:7" x14ac:dyDescent="0.25">
      <c r="A153" t="s">
        <v>202</v>
      </c>
      <c r="B153">
        <v>310233</v>
      </c>
      <c r="C153">
        <v>152</v>
      </c>
      <c r="D153" t="s">
        <v>196</v>
      </c>
      <c r="E153" s="30" t="s">
        <v>63</v>
      </c>
      <c r="F153" t="s">
        <v>222</v>
      </c>
      <c r="G153" s="3">
        <v>6</v>
      </c>
    </row>
    <row r="154" spans="1:7" x14ac:dyDescent="0.25">
      <c r="A154" t="s">
        <v>202</v>
      </c>
      <c r="B154">
        <v>310233</v>
      </c>
      <c r="C154">
        <v>153</v>
      </c>
      <c r="D154" t="s">
        <v>196</v>
      </c>
      <c r="E154" s="30" t="s">
        <v>64</v>
      </c>
      <c r="F154" t="s">
        <v>222</v>
      </c>
      <c r="G154" s="3">
        <v>7</v>
      </c>
    </row>
    <row r="155" spans="1:7" x14ac:dyDescent="0.25">
      <c r="A155" t="s">
        <v>202</v>
      </c>
      <c r="B155">
        <v>310233</v>
      </c>
      <c r="C155">
        <v>154</v>
      </c>
      <c r="D155" t="s">
        <v>196</v>
      </c>
      <c r="E155" s="30" t="s">
        <v>65</v>
      </c>
      <c r="F155" t="s">
        <v>222</v>
      </c>
      <c r="G155" s="3">
        <v>7</v>
      </c>
    </row>
    <row r="156" spans="1:7" x14ac:dyDescent="0.25">
      <c r="A156" t="s">
        <v>202</v>
      </c>
      <c r="B156">
        <v>310233</v>
      </c>
      <c r="C156">
        <v>155</v>
      </c>
      <c r="D156" t="s">
        <v>196</v>
      </c>
      <c r="E156" s="30" t="s">
        <v>66</v>
      </c>
      <c r="F156" t="s">
        <v>222</v>
      </c>
      <c r="G156" s="3">
        <v>6</v>
      </c>
    </row>
    <row r="157" spans="1:7" x14ac:dyDescent="0.25">
      <c r="A157" t="s">
        <v>202</v>
      </c>
      <c r="B157">
        <v>310233</v>
      </c>
      <c r="C157">
        <v>156</v>
      </c>
      <c r="D157" t="s">
        <v>196</v>
      </c>
      <c r="E157" s="30" t="s">
        <v>67</v>
      </c>
      <c r="F157" t="s">
        <v>222</v>
      </c>
      <c r="G157" s="3">
        <v>6</v>
      </c>
    </row>
    <row r="158" spans="1:7" x14ac:dyDescent="0.25">
      <c r="A158" t="s">
        <v>202</v>
      </c>
      <c r="B158">
        <v>310233</v>
      </c>
      <c r="C158">
        <v>157</v>
      </c>
      <c r="D158" t="s">
        <v>196</v>
      </c>
      <c r="E158" s="30" t="s">
        <v>68</v>
      </c>
      <c r="F158" t="s">
        <v>222</v>
      </c>
      <c r="G158" s="3">
        <v>6</v>
      </c>
    </row>
    <row r="159" spans="1:7" x14ac:dyDescent="0.25">
      <c r="A159" t="s">
        <v>202</v>
      </c>
      <c r="B159">
        <v>310233</v>
      </c>
      <c r="C159">
        <v>158</v>
      </c>
      <c r="D159" t="s">
        <v>196</v>
      </c>
      <c r="E159" s="30" t="s">
        <v>69</v>
      </c>
      <c r="F159" t="s">
        <v>222</v>
      </c>
      <c r="G159" s="3">
        <v>6</v>
      </c>
    </row>
    <row r="160" spans="1:7" x14ac:dyDescent="0.25">
      <c r="A160" t="s">
        <v>202</v>
      </c>
      <c r="B160">
        <v>310233</v>
      </c>
      <c r="C160">
        <v>159</v>
      </c>
      <c r="D160" t="s">
        <v>196</v>
      </c>
      <c r="E160" s="30" t="s">
        <v>70</v>
      </c>
      <c r="F160" t="s">
        <v>222</v>
      </c>
      <c r="G160" s="3">
        <v>6</v>
      </c>
    </row>
    <row r="161" spans="1:7" x14ac:dyDescent="0.25">
      <c r="A161" t="s">
        <v>202</v>
      </c>
      <c r="B161">
        <v>310233</v>
      </c>
      <c r="C161">
        <v>160</v>
      </c>
      <c r="D161" t="s">
        <v>196</v>
      </c>
      <c r="E161" s="30" t="s">
        <v>71</v>
      </c>
      <c r="F161" t="s">
        <v>222</v>
      </c>
      <c r="G161" s="3">
        <v>6</v>
      </c>
    </row>
    <row r="162" spans="1:7" x14ac:dyDescent="0.25">
      <c r="A162" t="s">
        <v>202</v>
      </c>
      <c r="B162">
        <v>310233</v>
      </c>
      <c r="C162">
        <v>161</v>
      </c>
      <c r="D162" t="s">
        <v>196</v>
      </c>
      <c r="E162" s="30" t="s">
        <v>72</v>
      </c>
      <c r="F162" t="s">
        <v>222</v>
      </c>
      <c r="G162" s="3">
        <v>11</v>
      </c>
    </row>
    <row r="163" spans="1:7" x14ac:dyDescent="0.25">
      <c r="A163" t="s">
        <v>202</v>
      </c>
      <c r="B163">
        <v>310233</v>
      </c>
      <c r="C163">
        <v>162</v>
      </c>
      <c r="D163" t="s">
        <v>196</v>
      </c>
      <c r="E163" s="30" t="s">
        <v>73</v>
      </c>
      <c r="F163" t="s">
        <v>222</v>
      </c>
      <c r="G163" s="3">
        <v>6</v>
      </c>
    </row>
    <row r="164" spans="1:7" x14ac:dyDescent="0.25">
      <c r="A164" t="s">
        <v>202</v>
      </c>
      <c r="B164">
        <v>310233</v>
      </c>
      <c r="C164">
        <v>163</v>
      </c>
      <c r="D164" t="s">
        <v>196</v>
      </c>
      <c r="E164" s="30" t="s">
        <v>74</v>
      </c>
      <c r="F164" t="s">
        <v>222</v>
      </c>
      <c r="G164" s="3">
        <v>6</v>
      </c>
    </row>
    <row r="165" spans="1:7" x14ac:dyDescent="0.25">
      <c r="A165" t="s">
        <v>202</v>
      </c>
      <c r="B165">
        <v>310233</v>
      </c>
      <c r="C165">
        <v>164</v>
      </c>
      <c r="D165" t="s">
        <v>196</v>
      </c>
      <c r="E165" s="30" t="s">
        <v>75</v>
      </c>
      <c r="F165" t="s">
        <v>222</v>
      </c>
      <c r="G165" s="3">
        <v>7</v>
      </c>
    </row>
    <row r="166" spans="1:7" x14ac:dyDescent="0.25">
      <c r="A166" t="s">
        <v>202</v>
      </c>
      <c r="B166">
        <v>310233</v>
      </c>
      <c r="C166">
        <v>165</v>
      </c>
      <c r="D166" t="s">
        <v>196</v>
      </c>
      <c r="E166" s="30" t="s">
        <v>76</v>
      </c>
      <c r="F166" t="s">
        <v>222</v>
      </c>
      <c r="G166" s="3">
        <v>7</v>
      </c>
    </row>
    <row r="167" spans="1:7" x14ac:dyDescent="0.25">
      <c r="A167" t="s">
        <v>202</v>
      </c>
      <c r="B167">
        <v>310233</v>
      </c>
      <c r="C167">
        <v>166</v>
      </c>
      <c r="D167" t="s">
        <v>196</v>
      </c>
      <c r="E167" s="30" t="s">
        <v>77</v>
      </c>
      <c r="F167" t="s">
        <v>222</v>
      </c>
      <c r="G167" s="3">
        <v>7</v>
      </c>
    </row>
    <row r="168" spans="1:7" x14ac:dyDescent="0.25">
      <c r="A168" t="s">
        <v>202</v>
      </c>
      <c r="B168">
        <v>310233</v>
      </c>
      <c r="C168">
        <v>167</v>
      </c>
      <c r="D168" t="s">
        <v>196</v>
      </c>
      <c r="E168" s="30" t="s">
        <v>78</v>
      </c>
      <c r="F168" t="s">
        <v>222</v>
      </c>
      <c r="G168" s="3">
        <v>7</v>
      </c>
    </row>
    <row r="169" spans="1:7" x14ac:dyDescent="0.25">
      <c r="A169" t="s">
        <v>202</v>
      </c>
      <c r="B169">
        <v>310233</v>
      </c>
      <c r="C169">
        <v>168</v>
      </c>
      <c r="D169" t="s">
        <v>196</v>
      </c>
      <c r="E169" s="30" t="s">
        <v>79</v>
      </c>
      <c r="F169" t="s">
        <v>222</v>
      </c>
      <c r="G169" s="3">
        <v>6</v>
      </c>
    </row>
    <row r="170" spans="1:7" x14ac:dyDescent="0.25">
      <c r="A170" t="s">
        <v>202</v>
      </c>
      <c r="B170">
        <v>310233</v>
      </c>
      <c r="C170">
        <v>169</v>
      </c>
      <c r="D170" t="s">
        <v>196</v>
      </c>
      <c r="E170" s="30" t="s">
        <v>80</v>
      </c>
      <c r="F170" t="s">
        <v>222</v>
      </c>
      <c r="G170" s="3">
        <v>6</v>
      </c>
    </row>
    <row r="171" spans="1:7" x14ac:dyDescent="0.25">
      <c r="A171" t="s">
        <v>202</v>
      </c>
      <c r="B171">
        <v>310233</v>
      </c>
      <c r="C171">
        <v>170</v>
      </c>
      <c r="D171" t="s">
        <v>196</v>
      </c>
      <c r="E171" s="30" t="s">
        <v>81</v>
      </c>
      <c r="F171" t="s">
        <v>222</v>
      </c>
      <c r="G171" s="3">
        <v>6</v>
      </c>
    </row>
    <row r="172" spans="1:7" x14ac:dyDescent="0.25">
      <c r="A172" t="s">
        <v>202</v>
      </c>
      <c r="B172">
        <v>310233</v>
      </c>
      <c r="C172">
        <v>171</v>
      </c>
      <c r="D172" t="s">
        <v>196</v>
      </c>
      <c r="E172" s="30" t="s">
        <v>82</v>
      </c>
      <c r="F172" t="s">
        <v>222</v>
      </c>
      <c r="G172" s="3">
        <v>6</v>
      </c>
    </row>
    <row r="173" spans="1:7" x14ac:dyDescent="0.25">
      <c r="A173" t="s">
        <v>202</v>
      </c>
      <c r="B173">
        <v>310233</v>
      </c>
      <c r="C173">
        <v>172</v>
      </c>
      <c r="D173" t="s">
        <v>196</v>
      </c>
      <c r="E173" s="30" t="s">
        <v>194</v>
      </c>
      <c r="F173" t="s">
        <v>222</v>
      </c>
      <c r="G173" s="3">
        <v>6</v>
      </c>
    </row>
    <row r="174" spans="1:7" x14ac:dyDescent="0.25">
      <c r="A174" t="s">
        <v>202</v>
      </c>
      <c r="B174">
        <v>310233</v>
      </c>
      <c r="C174">
        <v>173</v>
      </c>
      <c r="D174" t="s">
        <v>196</v>
      </c>
      <c r="E174" s="30" t="s">
        <v>83</v>
      </c>
      <c r="F174" t="s">
        <v>222</v>
      </c>
      <c r="G174" s="3">
        <v>6</v>
      </c>
    </row>
    <row r="175" spans="1:7" x14ac:dyDescent="0.25">
      <c r="A175" t="s">
        <v>202</v>
      </c>
      <c r="B175">
        <v>310233</v>
      </c>
      <c r="C175">
        <v>174</v>
      </c>
      <c r="D175" t="s">
        <v>196</v>
      </c>
      <c r="E175" s="30" t="s">
        <v>84</v>
      </c>
      <c r="F175" t="s">
        <v>222</v>
      </c>
      <c r="G175" s="3">
        <v>6</v>
      </c>
    </row>
    <row r="176" spans="1:7" x14ac:dyDescent="0.25">
      <c r="A176" t="s">
        <v>202</v>
      </c>
      <c r="B176">
        <v>310233</v>
      </c>
      <c r="C176">
        <v>175</v>
      </c>
      <c r="D176" t="s">
        <v>196</v>
      </c>
      <c r="E176" s="30" t="s">
        <v>85</v>
      </c>
      <c r="F176" t="s">
        <v>222</v>
      </c>
      <c r="G176" s="3">
        <v>6</v>
      </c>
    </row>
    <row r="177" spans="1:7" x14ac:dyDescent="0.25">
      <c r="A177" t="s">
        <v>202</v>
      </c>
      <c r="B177">
        <v>310233</v>
      </c>
      <c r="C177">
        <v>176</v>
      </c>
      <c r="D177" t="s">
        <v>196</v>
      </c>
      <c r="E177" s="30" t="s">
        <v>86</v>
      </c>
      <c r="F177" t="s">
        <v>222</v>
      </c>
      <c r="G177" s="3">
        <v>6</v>
      </c>
    </row>
    <row r="178" spans="1:7" x14ac:dyDescent="0.25">
      <c r="A178" t="s">
        <v>202</v>
      </c>
      <c r="B178">
        <v>310233</v>
      </c>
      <c r="C178">
        <v>177</v>
      </c>
      <c r="D178" t="s">
        <v>196</v>
      </c>
      <c r="E178" s="30" t="s">
        <v>87</v>
      </c>
      <c r="F178" t="s">
        <v>222</v>
      </c>
      <c r="G178" s="3">
        <v>6</v>
      </c>
    </row>
    <row r="179" spans="1:7" x14ac:dyDescent="0.25">
      <c r="A179" t="s">
        <v>202</v>
      </c>
      <c r="B179">
        <v>310233</v>
      </c>
      <c r="C179">
        <v>178</v>
      </c>
      <c r="D179" t="s">
        <v>196</v>
      </c>
      <c r="E179" s="30" t="s">
        <v>88</v>
      </c>
      <c r="F179" t="s">
        <v>222</v>
      </c>
      <c r="G179" s="3">
        <v>6</v>
      </c>
    </row>
    <row r="180" spans="1:7" x14ac:dyDescent="0.25">
      <c r="A180" t="s">
        <v>202</v>
      </c>
      <c r="B180">
        <v>310233</v>
      </c>
      <c r="C180">
        <v>179</v>
      </c>
      <c r="D180" t="s">
        <v>196</v>
      </c>
      <c r="E180" s="30" t="s">
        <v>89</v>
      </c>
      <c r="F180" t="s">
        <v>222</v>
      </c>
      <c r="G180" s="3">
        <v>1</v>
      </c>
    </row>
    <row r="181" spans="1:7" x14ac:dyDescent="0.25">
      <c r="A181" t="s">
        <v>202</v>
      </c>
      <c r="B181">
        <v>310233</v>
      </c>
      <c r="C181">
        <v>180</v>
      </c>
      <c r="D181" t="s">
        <v>196</v>
      </c>
      <c r="E181" s="30" t="s">
        <v>90</v>
      </c>
      <c r="F181" t="s">
        <v>222</v>
      </c>
      <c r="G181" s="3">
        <v>6</v>
      </c>
    </row>
    <row r="182" spans="1:7" x14ac:dyDescent="0.25">
      <c r="A182" t="s">
        <v>202</v>
      </c>
      <c r="B182">
        <v>310233</v>
      </c>
      <c r="C182">
        <v>181</v>
      </c>
      <c r="D182" t="s">
        <v>196</v>
      </c>
      <c r="E182" s="30" t="s">
        <v>91</v>
      </c>
      <c r="F182" t="s">
        <v>222</v>
      </c>
      <c r="G182" s="3">
        <v>6</v>
      </c>
    </row>
    <row r="183" spans="1:7" x14ac:dyDescent="0.25">
      <c r="A183" t="s">
        <v>202</v>
      </c>
      <c r="B183">
        <v>310233</v>
      </c>
      <c r="C183">
        <v>182</v>
      </c>
      <c r="D183" t="s">
        <v>196</v>
      </c>
      <c r="E183" s="30" t="s">
        <v>92</v>
      </c>
      <c r="F183" t="s">
        <v>222</v>
      </c>
      <c r="G183" s="3">
        <v>6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6"/>
  <sheetViews>
    <sheetView zoomScale="80" zoomScaleNormal="80" workbookViewId="0">
      <selection activeCell="M4" sqref="M4:Q7"/>
    </sheetView>
  </sheetViews>
  <sheetFormatPr defaultRowHeight="15" x14ac:dyDescent="0.25"/>
  <cols>
    <col min="1" max="1" width="20.140625" style="12" bestFit="1" customWidth="1"/>
    <col min="2" max="2" width="45.7109375" style="6" customWidth="1"/>
    <col min="3" max="3" width="9.140625" style="16"/>
    <col min="4" max="4" width="12.7109375" style="16" customWidth="1"/>
    <col min="5" max="5" width="11.42578125" style="10" customWidth="1"/>
    <col min="6" max="6" width="12.140625" bestFit="1" customWidth="1"/>
    <col min="7" max="7" width="7.7109375" style="19" bestFit="1" customWidth="1"/>
    <col min="8" max="8" width="40.140625" style="19" customWidth="1"/>
    <col min="9" max="9" width="8.85546875" style="19" customWidth="1"/>
    <col min="10" max="10" width="14.7109375" style="19" customWidth="1"/>
    <col min="11" max="11" width="15.140625" style="19" customWidth="1"/>
    <col min="13" max="13" width="7.7109375" style="19" bestFit="1" customWidth="1"/>
    <col min="14" max="14" width="32.5703125" style="19" customWidth="1"/>
    <col min="15" max="15" width="9.140625" style="19"/>
    <col min="16" max="17" width="14.140625" style="19" customWidth="1"/>
  </cols>
  <sheetData>
    <row r="1" spans="1:17" ht="61.5" x14ac:dyDescent="0.9">
      <c r="A1" s="32" t="s">
        <v>8</v>
      </c>
      <c r="B1" s="32"/>
      <c r="C1" s="32"/>
      <c r="D1" s="32"/>
      <c r="E1" s="32"/>
      <c r="G1" s="32" t="s">
        <v>8</v>
      </c>
      <c r="H1" s="32"/>
      <c r="I1" s="32"/>
      <c r="J1" s="32"/>
      <c r="K1" s="32"/>
      <c r="M1" s="32" t="s">
        <v>8</v>
      </c>
      <c r="N1" s="32"/>
      <c r="O1" s="32"/>
      <c r="P1" s="32"/>
      <c r="Q1" s="32"/>
    </row>
    <row r="2" spans="1:17" s="7" customFormat="1" ht="44.25" customHeight="1" x14ac:dyDescent="0.35">
      <c r="A2" s="33" t="s">
        <v>226</v>
      </c>
      <c r="B2" s="33"/>
      <c r="C2" s="33"/>
      <c r="D2" s="33"/>
      <c r="E2" s="33"/>
      <c r="G2" s="33" t="s">
        <v>229</v>
      </c>
      <c r="H2" s="33"/>
      <c r="I2" s="33"/>
      <c r="J2" s="33"/>
      <c r="K2" s="33"/>
      <c r="M2" s="33" t="s">
        <v>230</v>
      </c>
      <c r="N2" s="33"/>
      <c r="O2" s="33"/>
      <c r="P2" s="33"/>
      <c r="Q2" s="33"/>
    </row>
    <row r="3" spans="1:17" x14ac:dyDescent="0.25">
      <c r="A3" s="34" t="s">
        <v>9</v>
      </c>
      <c r="B3" s="34"/>
      <c r="C3" s="34"/>
      <c r="D3" s="34"/>
      <c r="E3" s="34"/>
      <c r="G3" s="18" t="s">
        <v>205</v>
      </c>
      <c r="H3" s="18" t="s">
        <v>225</v>
      </c>
      <c r="I3" s="18" t="s">
        <v>1</v>
      </c>
      <c r="J3" s="18" t="s">
        <v>203</v>
      </c>
      <c r="K3" s="18" t="s">
        <v>0</v>
      </c>
      <c r="M3" s="18" t="s">
        <v>205</v>
      </c>
      <c r="N3" s="18" t="s">
        <v>225</v>
      </c>
      <c r="O3" s="18" t="s">
        <v>1</v>
      </c>
      <c r="P3" s="18" t="s">
        <v>203</v>
      </c>
      <c r="Q3" s="18" t="s">
        <v>0</v>
      </c>
    </row>
    <row r="4" spans="1:17" ht="15" customHeight="1" x14ac:dyDescent="0.25">
      <c r="A4" s="34" t="s">
        <v>10</v>
      </c>
      <c r="B4" s="34"/>
      <c r="C4" s="34"/>
      <c r="D4" s="34"/>
      <c r="E4" s="34"/>
    </row>
    <row r="5" spans="1:17" x14ac:dyDescent="0.25">
      <c r="A5" s="4" t="s">
        <v>213</v>
      </c>
      <c r="B5" s="38" t="s">
        <v>234</v>
      </c>
      <c r="C5" s="38"/>
      <c r="D5" s="38"/>
      <c r="E5" s="38"/>
    </row>
    <row r="6" spans="1:17" x14ac:dyDescent="0.25">
      <c r="A6" s="8" t="s">
        <v>199</v>
      </c>
      <c r="B6" s="39" t="str">
        <f>IF(F6&lt;&gt;"",F6,IFERROR(VLOOKUP(E6,MappingTable!A:B,2,0),""))</f>
        <v/>
      </c>
      <c r="C6" s="39"/>
      <c r="D6" s="39"/>
      <c r="E6" s="13"/>
    </row>
    <row r="7" spans="1:17" x14ac:dyDescent="0.25">
      <c r="A7" s="8" t="s">
        <v>200</v>
      </c>
      <c r="B7" s="39"/>
      <c r="C7" s="39"/>
      <c r="D7" s="39"/>
      <c r="E7" s="39"/>
    </row>
    <row r="8" spans="1:17" x14ac:dyDescent="0.25">
      <c r="A8" s="4" t="s">
        <v>224</v>
      </c>
      <c r="B8" s="37">
        <f>SUM(Data!G:G)</f>
        <v>0</v>
      </c>
      <c r="C8" s="37"/>
      <c r="D8" s="37"/>
      <c r="E8" s="37"/>
    </row>
    <row r="9" spans="1:17" x14ac:dyDescent="0.25">
      <c r="A9" s="11" t="s">
        <v>210</v>
      </c>
      <c r="B9" s="41">
        <f>SUM(Data!J:J)</f>
        <v>0</v>
      </c>
      <c r="C9" s="41"/>
      <c r="D9" s="41"/>
      <c r="E9" s="41"/>
    </row>
    <row r="10" spans="1:17" x14ac:dyDescent="0.25">
      <c r="A10" s="11" t="s">
        <v>207</v>
      </c>
      <c r="B10" s="40"/>
      <c r="C10" s="41"/>
      <c r="D10" s="41"/>
      <c r="E10" s="41"/>
    </row>
    <row r="11" spans="1:17" x14ac:dyDescent="0.25">
      <c r="A11" s="17" t="s">
        <v>208</v>
      </c>
      <c r="B11" s="42">
        <f>B9-B10</f>
        <v>0</v>
      </c>
      <c r="C11" s="42"/>
      <c r="D11" s="42"/>
      <c r="E11" s="42"/>
    </row>
    <row r="12" spans="1:17" x14ac:dyDescent="0.25">
      <c r="A12" s="5" t="s">
        <v>209</v>
      </c>
      <c r="B12" s="35"/>
      <c r="C12" s="36"/>
      <c r="D12" s="36"/>
      <c r="E12" s="36"/>
    </row>
    <row r="13" spans="1:17" x14ac:dyDescent="0.25">
      <c r="A13" s="9" t="s">
        <v>205</v>
      </c>
      <c r="B13" s="9" t="s">
        <v>225</v>
      </c>
      <c r="C13" s="9" t="s">
        <v>1</v>
      </c>
      <c r="D13" s="9" t="s">
        <v>203</v>
      </c>
      <c r="E13" s="9" t="s">
        <v>0</v>
      </c>
    </row>
    <row r="14" spans="1:17" x14ac:dyDescent="0.25">
      <c r="C14" s="12"/>
      <c r="D14" s="12"/>
    </row>
    <row r="15" spans="1:17" x14ac:dyDescent="0.25">
      <c r="C15" s="12"/>
      <c r="D15" s="12"/>
    </row>
    <row r="16" spans="1:17" x14ac:dyDescent="0.25">
      <c r="C16" s="12"/>
      <c r="D16" s="12"/>
    </row>
  </sheetData>
  <mergeCells count="16">
    <mergeCell ref="A3:E3"/>
    <mergeCell ref="A4:E4"/>
    <mergeCell ref="B12:E12"/>
    <mergeCell ref="B8:E8"/>
    <mergeCell ref="B5:E5"/>
    <mergeCell ref="B7:E7"/>
    <mergeCell ref="B10:E10"/>
    <mergeCell ref="B9:E9"/>
    <mergeCell ref="B11:E11"/>
    <mergeCell ref="B6:D6"/>
    <mergeCell ref="G1:K1"/>
    <mergeCell ref="G2:K2"/>
    <mergeCell ref="M1:Q1"/>
    <mergeCell ref="M2:Q2"/>
    <mergeCell ref="A1:E1"/>
    <mergeCell ref="A2:E2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"/>
  <sheetViews>
    <sheetView tabSelected="1" workbookViewId="0">
      <selection activeCell="B1" sqref="B1"/>
    </sheetView>
  </sheetViews>
  <sheetFormatPr defaultRowHeight="15" x14ac:dyDescent="0.25"/>
  <cols>
    <col min="1" max="2" width="15.140625" bestFit="1" customWidth="1"/>
    <col min="3" max="3" width="23.140625" style="25" bestFit="1" customWidth="1"/>
    <col min="4" max="4" width="15.140625" style="26" bestFit="1" customWidth="1"/>
  </cols>
  <sheetData>
    <row r="1" spans="1:4" x14ac:dyDescent="0.25">
      <c r="A1" t="s">
        <v>227</v>
      </c>
      <c r="B1" s="29" t="s">
        <v>241</v>
      </c>
    </row>
    <row r="2" spans="1:4" x14ac:dyDescent="0.25">
      <c r="A2" t="s">
        <v>236</v>
      </c>
    </row>
    <row r="3" spans="1:4" x14ac:dyDescent="0.25">
      <c r="A3" t="s">
        <v>237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selection activeCell="D3" sqref="D3"/>
    </sheetView>
  </sheetViews>
  <sheetFormatPr defaultRowHeight="15" x14ac:dyDescent="0.25"/>
  <cols>
    <col min="1" max="1" width="5.42578125" bestFit="1" customWidth="1"/>
    <col min="2" max="2" width="13.28515625" bestFit="1" customWidth="1"/>
  </cols>
  <sheetData>
    <row r="1" spans="1:4" x14ac:dyDescent="0.25">
      <c r="A1" t="s">
        <v>214</v>
      </c>
      <c r="B1" t="s">
        <v>215</v>
      </c>
      <c r="D1" t="s">
        <v>233</v>
      </c>
    </row>
    <row r="2" spans="1:4" x14ac:dyDescent="0.25">
      <c r="A2">
        <v>1</v>
      </c>
      <c r="B2" t="s">
        <v>216</v>
      </c>
      <c r="D2" s="29" t="s">
        <v>235</v>
      </c>
    </row>
    <row r="3" spans="1:4" x14ac:dyDescent="0.25">
      <c r="A3">
        <v>2</v>
      </c>
      <c r="B3" t="s">
        <v>212</v>
      </c>
    </row>
    <row r="4" spans="1:4" x14ac:dyDescent="0.25">
      <c r="A4">
        <v>3</v>
      </c>
      <c r="B4" t="s">
        <v>217</v>
      </c>
    </row>
    <row r="5" spans="1:4" x14ac:dyDescent="0.25">
      <c r="A5">
        <v>4</v>
      </c>
      <c r="B5" t="s">
        <v>218</v>
      </c>
    </row>
    <row r="6" spans="1:4" x14ac:dyDescent="0.25">
      <c r="A6">
        <v>5</v>
      </c>
      <c r="B6" t="s">
        <v>219</v>
      </c>
    </row>
  </sheetData>
  <hyperlinks>
    <hyperlink ref="D2" r:id="rId1" display="Huangkai8652@hotmail.com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</vt:lpstr>
      <vt:lpstr>Data</vt:lpstr>
      <vt:lpstr>MENU</vt:lpstr>
      <vt:lpstr>Recipt</vt:lpstr>
      <vt:lpstr>Directory</vt:lpstr>
      <vt:lpstr>MappingTable</vt:lpstr>
      <vt:lpstr>Recipt!Print_Area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2020-09-05T13:55:32Z</cp:lastPrinted>
  <dcterms:created xsi:type="dcterms:W3CDTF">2020-08-09T13:53:27Z</dcterms:created>
  <dcterms:modified xsi:type="dcterms:W3CDTF">2021-04-21T15:04:38Z</dcterms:modified>
</cp:coreProperties>
</file>